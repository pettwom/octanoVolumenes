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2022_v2\AnhHydroOctanoVolumenes\OctanoVolumenes\AnhHydroOctanoVolumenes\AnhHydroOctanoPresentacion\Sitio\Plantillas\"/>
    </mc:Choice>
  </mc:AlternateContent>
  <bookViews>
    <workbookView minimized="1" xWindow="0" yWindow="0" windowWidth="24000" windowHeight="9600"/>
  </bookViews>
  <sheets>
    <sheet name="VENTA" sheetId="18" r:id="rId1"/>
    <sheet name="ANEXO A" sheetId="30" r:id="rId2"/>
    <sheet name="Ejm. SalXConciliacion" sheetId="29" r:id="rId3"/>
    <sheet name="Ejm. SalXProduccion" sheetId="28" r:id="rId4"/>
    <sheet name="Ejm. SalXVenta" sheetId="27" r:id="rId5"/>
    <sheet name="Ejm. SalXConsumoPropio" sheetId="25" r:id="rId6"/>
    <sheet name="Ejm. SalXEvaporacion" sheetId="26" r:id="rId7"/>
  </sheets>
  <calcPr calcId="162913"/>
</workbook>
</file>

<file path=xl/calcChain.xml><?xml version="1.0" encoding="utf-8"?>
<calcChain xmlns="http://schemas.openxmlformats.org/spreadsheetml/2006/main">
  <c r="Q2" i="29" l="1"/>
  <c r="Q1" i="29"/>
  <c r="Q1" i="26"/>
  <c r="Q1" i="28"/>
  <c r="Q1" i="25"/>
  <c r="Q9" i="27"/>
  <c r="Q8" i="27"/>
  <c r="Q7" i="27"/>
  <c r="Q6" i="27"/>
  <c r="Q5" i="27"/>
  <c r="Q4" i="27"/>
  <c r="Q3" i="27"/>
  <c r="Q2" i="27"/>
  <c r="Q1" i="27"/>
  <c r="R21" i="18" l="1"/>
  <c r="R20" i="18"/>
  <c r="R17" i="18"/>
  <c r="R16" i="18"/>
  <c r="R14" i="18"/>
  <c r="R13" i="18"/>
  <c r="R12" i="18"/>
  <c r="R11" i="18"/>
  <c r="R10" i="18"/>
  <c r="R9" i="18"/>
  <c r="R8" i="18"/>
  <c r="R7" i="18"/>
  <c r="R6" i="18"/>
  <c r="R5" i="18"/>
</calcChain>
</file>

<file path=xl/comments1.xml><?xml version="1.0" encoding="utf-8"?>
<comments xmlns="http://schemas.openxmlformats.org/spreadsheetml/2006/main">
  <authors>
    <author>DSF - Rony Sanguino Carballo</author>
    <author>DB - Gonzalo Copeticon Coronel</author>
  </authors>
  <commentList>
    <comment ref="B2" authorId="0" shapeId="0">
      <text>
        <r>
          <rPr>
            <b/>
            <sz val="11"/>
            <color indexed="81"/>
            <rFont val="Tahoma"/>
            <family val="2"/>
          </rPr>
          <t>DB - Rony Sanguino Carballo: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>FECHA DE VENTA DEL PRODUCTO</t>
        </r>
      </text>
    </comment>
    <comment ref="C2" authorId="0" shapeId="0">
      <text>
        <r>
          <rPr>
            <b/>
            <sz val="11"/>
            <color indexed="81"/>
            <rFont val="Tahoma"/>
            <family val="2"/>
          </rPr>
          <t xml:space="preserve">DB - Ronny Sanguino Carballo:
N° DE PLACA DEL CAMION CISTERNA QUE TRANSPORTA ALCOHOL DESHIDRATADO (ETANOL ANHIDRO).
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 xml:space="preserve">DB - Ronny Sanguino Carballo:
Nombre de la planta de almacenaje al cual se esta destinando el Alcohol Deshidratado (Etanol Anhidro)
 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DB - Ronny Sanguino Carballo:</t>
        </r>
        <r>
          <rPr>
            <sz val="9"/>
            <color indexed="81"/>
            <rFont val="Tahoma"/>
            <family val="2"/>
          </rPr>
          <t xml:space="preserve">
La Forma de Pago permitira registrar movimientos contables (ventas) que no afecten el volumen real disponible dentro de los tanques. 
Por ejemplo si se emite la factura en modalidad pre-pago por la venta de alcohol este volumen puede ser entregado posteriormente.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DSF - Rony Sanguino Carballo: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 xml:space="preserve">DB - Ronny Sanguino Carballo:
Esta casilla es para identificar si la factura es valida o anulada, para el registro de los numeros de correlativo de las facturas.
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 xml:space="preserve">DB - Gonzalo Copeticon Coronel:
</t>
        </r>
        <r>
          <rPr>
            <sz val="9"/>
            <color indexed="81"/>
            <rFont val="Tahoma"/>
            <family val="2"/>
          </rPr>
          <t xml:space="preserve">Numero de referencia con el cual se identifique de despacho exclusivamente para el Alcohol Anhidro.
Esta casilla no es aplicable para AHID Y ASAN 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 xml:space="preserve">DB - Gonzalo Copeticon Coronel:
</t>
        </r>
        <r>
          <rPr>
            <sz val="9"/>
            <color indexed="81"/>
            <rFont val="Tahoma"/>
            <family val="2"/>
          </rPr>
          <t xml:space="preserve">Documento principal y obligatorio para:
</t>
        </r>
        <r>
          <rPr>
            <b/>
            <sz val="9"/>
            <color indexed="81"/>
            <rFont val="Tahoma"/>
            <family val="2"/>
          </rPr>
          <t>AHID y ASAN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U2" authorId="1" shapeId="0">
      <text>
        <r>
          <rPr>
            <b/>
            <sz val="9"/>
            <color indexed="81"/>
            <rFont val="Tahoma"/>
            <family val="2"/>
          </rPr>
          <t>DB - Gonzalo Copeticon Coronel:</t>
        </r>
        <r>
          <rPr>
            <sz val="9"/>
            <color indexed="81"/>
            <rFont val="Tahoma"/>
            <family val="2"/>
          </rPr>
          <t xml:space="preserve">
Codificaion para la salida del producto </t>
        </r>
        <r>
          <rPr>
            <b/>
            <sz val="9"/>
            <color indexed="81"/>
            <rFont val="Tahoma"/>
            <family val="2"/>
          </rPr>
          <t xml:space="preserve">AANH
</t>
        </r>
        <r>
          <rPr>
            <sz val="9"/>
            <color indexed="81"/>
            <rFont val="Tahoma"/>
            <family val="2"/>
          </rPr>
          <t>fisico para la planilla de ventas y contable para salida por conciliacion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 xml:space="preserve">DB - Gonzalo Copeticon Coronel:
</t>
        </r>
        <r>
          <rPr>
            <sz val="9"/>
            <color indexed="81"/>
            <rFont val="Tahoma"/>
            <family val="2"/>
          </rPr>
          <t xml:space="preserve">Documento para identificar salidas por ventas en </t>
        </r>
        <r>
          <rPr>
            <b/>
            <sz val="9"/>
            <color indexed="81"/>
            <rFont val="Tahoma"/>
            <family val="2"/>
          </rPr>
          <t>AANH</t>
        </r>
        <r>
          <rPr>
            <sz val="9"/>
            <color indexed="81"/>
            <rFont val="Tahoma"/>
            <family val="2"/>
          </rPr>
          <t xml:space="preserve">
VENTAS, CONSUMO PROPIO EVAPORACION = </t>
        </r>
        <r>
          <rPr>
            <b/>
            <sz val="9"/>
            <color indexed="81"/>
            <rFont val="Tahoma"/>
            <family val="2"/>
          </rPr>
          <t>CONTABLE</t>
        </r>
        <r>
          <rPr>
            <sz val="9"/>
            <color indexed="81"/>
            <rFont val="Tahoma"/>
            <family val="2"/>
          </rPr>
          <t xml:space="preserve">
SALIDA POR CONCILIACION =</t>
        </r>
        <r>
          <rPr>
            <b/>
            <sz val="9"/>
            <color indexed="81"/>
            <rFont val="Tahoma"/>
            <family val="2"/>
          </rPr>
          <t xml:space="preserve"> FISICO</t>
        </r>
      </text>
    </comment>
  </commentList>
</comments>
</file>

<file path=xl/sharedStrings.xml><?xml version="1.0" encoding="utf-8"?>
<sst xmlns="http://schemas.openxmlformats.org/spreadsheetml/2006/main" count="394" uniqueCount="120">
  <si>
    <t>V</t>
  </si>
  <si>
    <t>PAIS</t>
  </si>
  <si>
    <t>BOLIVIA</t>
  </si>
  <si>
    <t>RAZON SOCIAL</t>
  </si>
  <si>
    <t>ESTADO
V = VALIDO
A = ANULADO</t>
  </si>
  <si>
    <t>TIPO DE OPERACIÓN\COLUMNA CSV</t>
  </si>
  <si>
    <t>FECHA</t>
  </si>
  <si>
    <t>EF</t>
  </si>
  <si>
    <t>458KOL</t>
  </si>
  <si>
    <t>543GTR</t>
  </si>
  <si>
    <t>DOCUMENTO - FACTURA</t>
  </si>
  <si>
    <t>Texto</t>
  </si>
  <si>
    <t>SALIDA X VENTA</t>
  </si>
  <si>
    <t>SALIDA X CONSUMO PROPIO</t>
  </si>
  <si>
    <t>Numerico                   Separador decimal "." (Punto)</t>
  </si>
  <si>
    <t>GRADUACIÓN ALCOHÓLICA
(%VOL.)</t>
  </si>
  <si>
    <t>DOCUMENTO - PRODUCTO</t>
  </si>
  <si>
    <t>YPFB</t>
  </si>
  <si>
    <t>POS</t>
  </si>
  <si>
    <t>COM</t>
  </si>
  <si>
    <t>NIT COMPRADOR</t>
  </si>
  <si>
    <t>PRECIO POR LITRO</t>
  </si>
  <si>
    <t xml:space="preserve"> IMPORTE TOTAL</t>
  </si>
  <si>
    <t xml:space="preserve">USO ESPECIFICO
NOID = NO IDENTIFICADO
EXP = EXPORTACION   DOM = DOMESTICO
IND = INDUSTRIAL  </t>
  </si>
  <si>
    <t>IND</t>
  </si>
  <si>
    <t>FORMA PAGO
EF = EFECTIVO
PRE = PRE-PAGO
VAL = VALE 
POS = POSTPAGO</t>
  </si>
  <si>
    <t>N° FACTURA</t>
  </si>
  <si>
    <t>IDENTIFICADOR        PLACA (ETANOL ANHIDRO)</t>
  </si>
  <si>
    <t>NOID</t>
  </si>
  <si>
    <t xml:space="preserve">Numerico                   0 si no aplica </t>
  </si>
  <si>
    <t>Texto                         Vacio si no aplica</t>
  </si>
  <si>
    <t>Numerico                                 0 si no aplica                            Separador decimal "." (Punto)</t>
  </si>
  <si>
    <t>Texto
Vacio si no aplica</t>
  </si>
  <si>
    <t>PRODUCTO
AANH = ALCOHOL ANHIDRO
AHID = ALCOHOL HIDRATADO</t>
  </si>
  <si>
    <t>AANH</t>
  </si>
  <si>
    <t>AHID</t>
  </si>
  <si>
    <t>CODIGO CONTROL</t>
  </si>
  <si>
    <t>AA-43-34-34</t>
  </si>
  <si>
    <t>45-AA-43-BC</t>
  </si>
  <si>
    <t>SALIDA X EVAPORACION</t>
  </si>
  <si>
    <t>VOLUMEN
(LITROS)</t>
  </si>
  <si>
    <t>NUMERO DE CERTIFICADO RECEPCION O ENTREGA (CRE) (ALCOHOL ANHIDRO)</t>
  </si>
  <si>
    <t xml:space="preserve">NOTA DE MOVIMIENTO </t>
  </si>
  <si>
    <t>N° CONCILIACION</t>
  </si>
  <si>
    <t xml:space="preserve">Alfa Numerico                   0 si no aplica </t>
  </si>
  <si>
    <t>D-4600/2022</t>
  </si>
  <si>
    <t>I-04-22</t>
  </si>
  <si>
    <t>FIS</t>
  </si>
  <si>
    <t>D-5050/2022</t>
  </si>
  <si>
    <t>D-1444/2022</t>
  </si>
  <si>
    <t>D-4740/2022</t>
  </si>
  <si>
    <t>II-04-22</t>
  </si>
  <si>
    <t>D-5248/2022</t>
  </si>
  <si>
    <t>D-4640/2022</t>
  </si>
  <si>
    <t>B-I-060622</t>
  </si>
  <si>
    <t>B-I-070622</t>
  </si>
  <si>
    <t>B-I-010622</t>
  </si>
  <si>
    <t>B-II-280622</t>
  </si>
  <si>
    <t>B-I-020622</t>
  </si>
  <si>
    <t>B-II-290622</t>
  </si>
  <si>
    <t>PAHL SENKATA</t>
  </si>
  <si>
    <t>458KYT</t>
  </si>
  <si>
    <t>PAHL VALLE HERMOSO</t>
  </si>
  <si>
    <t>543GKB</t>
  </si>
  <si>
    <t>PAHL PUERTO VILLAROEL</t>
  </si>
  <si>
    <t>254HGF</t>
  </si>
  <si>
    <t>PAHL PALMASOLA</t>
  </si>
  <si>
    <t>256LKJ</t>
  </si>
  <si>
    <t>PAHL POTILLO</t>
  </si>
  <si>
    <t>CHAVEZ</t>
  </si>
  <si>
    <t>FARMACOPR</t>
  </si>
  <si>
    <t>ASAN</t>
  </si>
  <si>
    <t>JUAN PERES</t>
  </si>
  <si>
    <t>DOM</t>
  </si>
  <si>
    <t>SALIDA X PRODUCCION</t>
  </si>
  <si>
    <t>SALIDA X CONCILIACION</t>
  </si>
  <si>
    <t>CON</t>
  </si>
  <si>
    <t xml:space="preserve">TIPO DE MOVIMIENTO
FIS = FISICO
CON = CONTABLE
</t>
  </si>
  <si>
    <t>PLANTA DE ALMACENAJE DE DESTINO (ETANOL ANHIDRO)
ANEXO A</t>
  </si>
  <si>
    <t>DEPARTAMENTO</t>
  </si>
  <si>
    <t>DENOMINACION PLANTA</t>
  </si>
  <si>
    <t>BENI</t>
  </si>
  <si>
    <t>CONSTRUCTORA SANCHES TRIPOLONI LTDA. SUC. BOLIVIA</t>
  </si>
  <si>
    <t>YPFB LOGISTICA S.A. "RIBERALTA"</t>
  </si>
  <si>
    <t>YPFB LOGISTICA S.A. "TRINIDAD"</t>
  </si>
  <si>
    <t>ZONA COMERCIAL GUAYARAMERIN</t>
  </si>
  <si>
    <t>CHUQUISACA</t>
  </si>
  <si>
    <t>YPFB LOGISTICA S.A. "MONTEAGUDO"</t>
  </si>
  <si>
    <t>YPFB LOGISTICA S.A. "QHORA QHORA"</t>
  </si>
  <si>
    <t>COCHABAMBA</t>
  </si>
  <si>
    <t>GOBIERNO AUTÓNOMO MUNICIPAL DE TIQUIPAYA</t>
  </si>
  <si>
    <t>YPFB LOGISTICA S.A. "PUERTO VILLARROEL"</t>
  </si>
  <si>
    <t>YPFB LOGISTICA S.A. "VALLE HERMOSO"</t>
  </si>
  <si>
    <t>LA PAZ</t>
  </si>
  <si>
    <t>YPFB LOGISTICA S.A. "SENKATA"</t>
  </si>
  <si>
    <t>ORURO</t>
  </si>
  <si>
    <t>YPFB LOGISTICA S.A. "SAN PEDRO"</t>
  </si>
  <si>
    <t>PANDO</t>
  </si>
  <si>
    <t>ZONA COMERCIAL COBIJA</t>
  </si>
  <si>
    <t>POTOSI</t>
  </si>
  <si>
    <t>YPFB LOGISTICA S.A. "POTOSÍ"</t>
  </si>
  <si>
    <t>YPFB LOGISTICA S.A. "TUPIZA"</t>
  </si>
  <si>
    <t>YPFB LOGISTICA S.A. "UYUNI"</t>
  </si>
  <si>
    <t>ZONA COMERCIAL VILLAZON</t>
  </si>
  <si>
    <t>SANTA CRUZ</t>
  </si>
  <si>
    <t>ALMACENES DE CARBURANTES SOCIEDAD ANONIMA ALCASA</t>
  </si>
  <si>
    <t>DISTRIBUIDORA DE CARBURANTES "DISCAR S.R.L."</t>
  </si>
  <si>
    <t>FREE PORT TERMINAL COMPANY LIMITED (BOLIVIA)</t>
  </si>
  <si>
    <t>GRAVETAL BOLIVIA S.A.</t>
  </si>
  <si>
    <t>YPFB LOGISTICA S.A. "CAMIRI"</t>
  </si>
  <si>
    <t>YPFB LOGISTICA S.A. "SAN JOSE DE CHIQUITOS"</t>
  </si>
  <si>
    <t>YPFB LOGISTICA S.A. "SANTA CRUZ"</t>
  </si>
  <si>
    <t>ZONA COMERCIAL PUERTO SUAREZ</t>
  </si>
  <si>
    <t>TARIJA</t>
  </si>
  <si>
    <t>ALMACENES DE CARBURANTES SOCIEDAD ANONIMA ALCASA - YACUIBA</t>
  </si>
  <si>
    <t>YPFB LOGISTICA S.A. "TARIJA"</t>
  </si>
  <si>
    <t>YPFB LOGISTICA S.A. "VILLAMONTES"</t>
  </si>
  <si>
    <t>ZONA COMERCIAL BERMEJO</t>
  </si>
  <si>
    <t>ZONA COMERCIAL YACUIBA</t>
  </si>
  <si>
    <t>(NRO/COD)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</si>
</sst>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0" fillId="0" borderId="0" xfId="0" applyFill="1" applyBorder="1"/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49" fontId="3" fillId="3" borderId="1" xfId="0" applyNumberFormat="1" applyFont="1" applyFill="1" applyBorder="1" applyAlignment="1">
      <alignment horizontal="center" vertical="center" wrapText="1"/>
    </xf>
    <xf numFmtId="1" fontId="3" fillId="4" borderId="0" xfId="0" applyNumberFormat="1" applyFont="1" applyFill="1" applyAlignment="1">
      <alignment horizontal="center"/>
    </xf>
    <xf numFmtId="0" fontId="0" fillId="4" borderId="0" xfId="0" applyFill="1"/>
    <xf numFmtId="49" fontId="3" fillId="4" borderId="1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NumberFormat="1" applyFont="1" applyFill="1" applyBorder="1"/>
    <xf numFmtId="1" fontId="0" fillId="0" borderId="1" xfId="0" applyNumberFormat="1" applyFill="1" applyBorder="1"/>
    <xf numFmtId="0" fontId="0" fillId="0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4" fontId="0" fillId="0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right"/>
    </xf>
    <xf numFmtId="0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/>
    </xf>
    <xf numFmtId="49" fontId="3" fillId="3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21"/>
  <sheetViews>
    <sheetView tabSelected="1" zoomScale="85" zoomScaleNormal="85" workbookViewId="0">
      <selection activeCell="H5" sqref="H5"/>
    </sheetView>
  </sheetViews>
  <sheetFormatPr baseColWidth="10" defaultColWidth="17.140625" defaultRowHeight="15" x14ac:dyDescent="0.25"/>
  <cols>
    <col min="1" max="1" width="25.5703125" style="1" customWidth="1"/>
    <col min="2" max="2" width="12.140625" style="1" customWidth="1"/>
    <col min="3" max="3" width="18.42578125" style="16" customWidth="1"/>
    <col min="4" max="4" width="11.85546875" style="1" customWidth="1"/>
    <col min="5" max="5" width="20.5703125" style="1" customWidth="1"/>
    <col min="6" max="6" width="16.5703125" style="1" customWidth="1"/>
    <col min="7" max="7" width="24.85546875" style="1" customWidth="1"/>
    <col min="8" max="8" width="22.85546875" style="1" customWidth="1"/>
    <col min="9" max="9" width="19.140625" style="1" customWidth="1"/>
    <col min="10" max="10" width="19" style="1" customWidth="1"/>
    <col min="11" max="11" width="12.85546875" style="1" customWidth="1"/>
    <col min="12" max="12" width="13.5703125" style="1" customWidth="1"/>
    <col min="13" max="13" width="12.7109375" style="1" customWidth="1"/>
    <col min="14" max="14" width="13.85546875" style="1" customWidth="1"/>
    <col min="15" max="15" width="12.7109375" style="1" customWidth="1"/>
    <col min="16" max="16" width="19.7109375" style="1" customWidth="1"/>
    <col min="17" max="17" width="15.140625" style="1" customWidth="1"/>
    <col min="18" max="18" width="15.85546875" style="1" customWidth="1"/>
    <col min="19" max="19" width="14.5703125" style="1" customWidth="1"/>
    <col min="20" max="16384" width="17.140625" style="1"/>
  </cols>
  <sheetData>
    <row r="1" spans="1:22" s="9" customFormat="1" x14ac:dyDescent="0.25">
      <c r="B1" s="10">
        <v>0</v>
      </c>
      <c r="C1" s="15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  <c r="I1" s="10">
        <v>7</v>
      </c>
      <c r="J1" s="10">
        <v>8</v>
      </c>
      <c r="K1" s="10">
        <v>9</v>
      </c>
      <c r="L1" s="10">
        <v>10</v>
      </c>
      <c r="M1" s="10">
        <v>11</v>
      </c>
      <c r="N1" s="10">
        <v>12</v>
      </c>
      <c r="O1" s="10">
        <v>13</v>
      </c>
      <c r="P1" s="10">
        <v>14</v>
      </c>
      <c r="Q1" s="10">
        <v>15</v>
      </c>
      <c r="R1" s="10">
        <v>16</v>
      </c>
      <c r="S1" s="10">
        <v>17</v>
      </c>
      <c r="T1" s="9">
        <v>18</v>
      </c>
      <c r="U1" s="9">
        <v>19</v>
      </c>
      <c r="V1" s="9">
        <v>20</v>
      </c>
    </row>
    <row r="2" spans="1:22" ht="139.5" customHeight="1" x14ac:dyDescent="0.25">
      <c r="A2" s="6" t="s">
        <v>5</v>
      </c>
      <c r="B2" s="7" t="s">
        <v>6</v>
      </c>
      <c r="C2" s="7" t="s">
        <v>27</v>
      </c>
      <c r="D2" s="8" t="s">
        <v>1</v>
      </c>
      <c r="E2" s="8" t="s">
        <v>78</v>
      </c>
      <c r="F2" s="8" t="s">
        <v>25</v>
      </c>
      <c r="G2" s="8" t="s">
        <v>33</v>
      </c>
      <c r="H2" s="14" t="s">
        <v>23</v>
      </c>
      <c r="I2" s="8" t="s">
        <v>40</v>
      </c>
      <c r="J2" s="8" t="s">
        <v>15</v>
      </c>
      <c r="K2" s="8" t="s">
        <v>4</v>
      </c>
      <c r="L2" s="8" t="s">
        <v>20</v>
      </c>
      <c r="M2" s="8" t="s">
        <v>26</v>
      </c>
      <c r="N2" s="18" t="s">
        <v>119</v>
      </c>
      <c r="O2" s="18" t="s">
        <v>36</v>
      </c>
      <c r="P2" s="8" t="s">
        <v>3</v>
      </c>
      <c r="Q2" s="8" t="s">
        <v>21</v>
      </c>
      <c r="R2" s="8" t="s">
        <v>22</v>
      </c>
      <c r="S2" s="14" t="s">
        <v>41</v>
      </c>
      <c r="T2" s="14" t="s">
        <v>42</v>
      </c>
      <c r="U2" s="14" t="s">
        <v>43</v>
      </c>
      <c r="V2" s="14" t="s">
        <v>77</v>
      </c>
    </row>
    <row r="3" spans="1:22" s="11" customFormat="1" ht="59.25" customHeight="1" x14ac:dyDescent="0.25">
      <c r="A3" s="6"/>
      <c r="B3" s="7" t="s">
        <v>11</v>
      </c>
      <c r="C3" s="7" t="s">
        <v>30</v>
      </c>
      <c r="D3" s="7" t="s">
        <v>11</v>
      </c>
      <c r="E3" s="7" t="s">
        <v>32</v>
      </c>
      <c r="F3" s="7" t="s">
        <v>32</v>
      </c>
      <c r="G3" s="7" t="s">
        <v>11</v>
      </c>
      <c r="H3" s="12" t="s">
        <v>11</v>
      </c>
      <c r="I3" s="7" t="s">
        <v>14</v>
      </c>
      <c r="J3" s="7" t="s">
        <v>14</v>
      </c>
      <c r="K3" s="8" t="s">
        <v>11</v>
      </c>
      <c r="L3" s="8" t="s">
        <v>29</v>
      </c>
      <c r="M3" s="8" t="s">
        <v>29</v>
      </c>
      <c r="N3" s="8" t="s">
        <v>29</v>
      </c>
      <c r="O3" s="7" t="s">
        <v>30</v>
      </c>
      <c r="P3" s="7" t="s">
        <v>30</v>
      </c>
      <c r="Q3" s="8" t="s">
        <v>31</v>
      </c>
      <c r="R3" s="8" t="s">
        <v>31</v>
      </c>
      <c r="S3" s="14" t="s">
        <v>44</v>
      </c>
      <c r="T3" s="14" t="s">
        <v>44</v>
      </c>
      <c r="U3" s="14" t="s">
        <v>44</v>
      </c>
      <c r="V3" s="14" t="s">
        <v>11</v>
      </c>
    </row>
    <row r="4" spans="1:22" s="2" customFormat="1" ht="35.25" customHeight="1" x14ac:dyDescent="0.25">
      <c r="A4" s="3"/>
      <c r="B4" s="4"/>
      <c r="C4" s="17"/>
      <c r="D4" s="5"/>
      <c r="E4" s="5"/>
      <c r="F4" s="17"/>
      <c r="G4" s="5"/>
      <c r="H4" s="13"/>
      <c r="I4" s="5"/>
      <c r="J4" s="5"/>
      <c r="K4" s="5"/>
      <c r="L4" s="38" t="s">
        <v>10</v>
      </c>
      <c r="M4" s="39"/>
      <c r="N4" s="39"/>
      <c r="O4" s="39"/>
      <c r="P4" s="39"/>
      <c r="Q4" s="39"/>
      <c r="R4" s="40"/>
      <c r="S4" s="38" t="s">
        <v>16</v>
      </c>
      <c r="T4" s="39"/>
      <c r="U4" s="39"/>
      <c r="V4" s="40"/>
    </row>
    <row r="5" spans="1:22" x14ac:dyDescent="0.25">
      <c r="A5" s="41" t="s">
        <v>12</v>
      </c>
      <c r="B5" s="19">
        <v>44652</v>
      </c>
      <c r="C5" s="20" t="s">
        <v>8</v>
      </c>
      <c r="D5" s="20" t="s">
        <v>2</v>
      </c>
      <c r="E5" s="21" t="s">
        <v>60</v>
      </c>
      <c r="F5" s="20" t="s">
        <v>18</v>
      </c>
      <c r="G5" s="20" t="s">
        <v>34</v>
      </c>
      <c r="H5" s="20" t="s">
        <v>24</v>
      </c>
      <c r="I5" s="22">
        <v>500</v>
      </c>
      <c r="J5" s="23">
        <v>99.5</v>
      </c>
      <c r="K5" s="20" t="s">
        <v>0</v>
      </c>
      <c r="L5" s="20">
        <v>0</v>
      </c>
      <c r="M5" s="20">
        <v>0</v>
      </c>
      <c r="N5" s="24">
        <v>0</v>
      </c>
      <c r="O5" s="13"/>
      <c r="P5" s="20" t="s">
        <v>17</v>
      </c>
      <c r="Q5" s="25">
        <v>5.52</v>
      </c>
      <c r="R5" s="13">
        <f>I5*Q5</f>
        <v>2760</v>
      </c>
      <c r="S5" s="26" t="s">
        <v>45</v>
      </c>
      <c r="T5" s="20">
        <v>0</v>
      </c>
      <c r="U5" s="26" t="s">
        <v>46</v>
      </c>
      <c r="V5" s="21" t="s">
        <v>47</v>
      </c>
    </row>
    <row r="6" spans="1:22" x14ac:dyDescent="0.25">
      <c r="A6" s="41"/>
      <c r="B6" s="27">
        <v>44653</v>
      </c>
      <c r="C6" s="13" t="s">
        <v>9</v>
      </c>
      <c r="D6" s="13" t="s">
        <v>2</v>
      </c>
      <c r="E6" s="28" t="s">
        <v>60</v>
      </c>
      <c r="F6" s="13" t="s">
        <v>18</v>
      </c>
      <c r="G6" s="13" t="s">
        <v>34</v>
      </c>
      <c r="H6" s="13" t="s">
        <v>24</v>
      </c>
      <c r="I6" s="13">
        <v>1000</v>
      </c>
      <c r="J6" s="23">
        <v>99.5</v>
      </c>
      <c r="K6" s="13" t="s">
        <v>0</v>
      </c>
      <c r="L6" s="13">
        <v>0</v>
      </c>
      <c r="M6" s="13">
        <v>0</v>
      </c>
      <c r="N6" s="24">
        <v>0</v>
      </c>
      <c r="O6" s="13"/>
      <c r="P6" s="13" t="s">
        <v>17</v>
      </c>
      <c r="Q6" s="29">
        <v>5.52</v>
      </c>
      <c r="R6" s="13">
        <f t="shared" ref="R6:R21" si="0">I6*Q6</f>
        <v>5520</v>
      </c>
      <c r="S6" s="26" t="s">
        <v>48</v>
      </c>
      <c r="T6" s="13">
        <v>0</v>
      </c>
      <c r="U6" s="26" t="s">
        <v>46</v>
      </c>
      <c r="V6" s="21" t="s">
        <v>47</v>
      </c>
    </row>
    <row r="7" spans="1:22" x14ac:dyDescent="0.25">
      <c r="A7" s="41"/>
      <c r="B7" s="27">
        <v>44666</v>
      </c>
      <c r="C7" s="13" t="s">
        <v>61</v>
      </c>
      <c r="D7" s="13" t="s">
        <v>2</v>
      </c>
      <c r="E7" s="28" t="s">
        <v>62</v>
      </c>
      <c r="F7" s="13" t="s">
        <v>18</v>
      </c>
      <c r="G7" s="13" t="s">
        <v>34</v>
      </c>
      <c r="H7" s="13" t="s">
        <v>24</v>
      </c>
      <c r="I7" s="13">
        <v>500</v>
      </c>
      <c r="J7" s="23">
        <v>99.5</v>
      </c>
      <c r="K7" s="13" t="s">
        <v>0</v>
      </c>
      <c r="L7" s="13">
        <v>0</v>
      </c>
      <c r="M7" s="13">
        <v>0</v>
      </c>
      <c r="N7" s="24">
        <v>0</v>
      </c>
      <c r="O7" s="13"/>
      <c r="P7" s="13" t="s">
        <v>17</v>
      </c>
      <c r="Q7" s="29">
        <v>5.52</v>
      </c>
      <c r="R7" s="13">
        <f t="shared" si="0"/>
        <v>2760</v>
      </c>
      <c r="S7" s="26" t="s">
        <v>49</v>
      </c>
      <c r="T7" s="13">
        <v>0</v>
      </c>
      <c r="U7" s="26" t="s">
        <v>46</v>
      </c>
      <c r="V7" s="21" t="s">
        <v>47</v>
      </c>
    </row>
    <row r="8" spans="1:22" x14ac:dyDescent="0.25">
      <c r="A8" s="41"/>
      <c r="B8" s="27">
        <v>44667</v>
      </c>
      <c r="C8" s="13" t="s">
        <v>63</v>
      </c>
      <c r="D8" s="13" t="s">
        <v>2</v>
      </c>
      <c r="E8" s="28" t="s">
        <v>64</v>
      </c>
      <c r="F8" s="13" t="s">
        <v>18</v>
      </c>
      <c r="G8" s="13" t="s">
        <v>34</v>
      </c>
      <c r="H8" s="13" t="s">
        <v>24</v>
      </c>
      <c r="I8" s="13">
        <v>500</v>
      </c>
      <c r="J8" s="23">
        <v>99.5</v>
      </c>
      <c r="K8" s="13" t="s">
        <v>0</v>
      </c>
      <c r="L8" s="13">
        <v>0</v>
      </c>
      <c r="M8" s="13">
        <v>0</v>
      </c>
      <c r="N8" s="24">
        <v>0</v>
      </c>
      <c r="O8" s="24"/>
      <c r="P8" s="13" t="s">
        <v>17</v>
      </c>
      <c r="Q8" s="29">
        <v>5.52</v>
      </c>
      <c r="R8" s="13">
        <f t="shared" si="0"/>
        <v>2760</v>
      </c>
      <c r="S8" s="26" t="s">
        <v>50</v>
      </c>
      <c r="T8" s="13">
        <v>0</v>
      </c>
      <c r="U8" s="26" t="s">
        <v>51</v>
      </c>
      <c r="V8" s="21" t="s">
        <v>47</v>
      </c>
    </row>
    <row r="9" spans="1:22" x14ac:dyDescent="0.25">
      <c r="A9" s="41"/>
      <c r="B9" s="27">
        <v>44732</v>
      </c>
      <c r="C9" s="13" t="s">
        <v>65</v>
      </c>
      <c r="D9" s="13" t="s">
        <v>2</v>
      </c>
      <c r="E9" s="28" t="s">
        <v>66</v>
      </c>
      <c r="F9" s="13" t="s">
        <v>18</v>
      </c>
      <c r="G9" s="13" t="s">
        <v>34</v>
      </c>
      <c r="H9" s="13" t="s">
        <v>24</v>
      </c>
      <c r="I9" s="13">
        <v>30000</v>
      </c>
      <c r="J9" s="23">
        <v>99.5</v>
      </c>
      <c r="K9" s="13" t="s">
        <v>0</v>
      </c>
      <c r="L9" s="13">
        <v>0</v>
      </c>
      <c r="M9" s="13">
        <v>0</v>
      </c>
      <c r="N9" s="24">
        <v>0</v>
      </c>
      <c r="O9" s="24"/>
      <c r="P9" s="13" t="s">
        <v>17</v>
      </c>
      <c r="Q9" s="29">
        <v>5.52</v>
      </c>
      <c r="R9" s="13">
        <f t="shared" si="0"/>
        <v>165600</v>
      </c>
      <c r="S9" s="26" t="s">
        <v>52</v>
      </c>
      <c r="T9" s="13">
        <v>0</v>
      </c>
      <c r="U9" s="26" t="s">
        <v>51</v>
      </c>
      <c r="V9" s="21" t="s">
        <v>47</v>
      </c>
    </row>
    <row r="10" spans="1:22" x14ac:dyDescent="0.25">
      <c r="A10" s="41"/>
      <c r="B10" s="19">
        <v>44681</v>
      </c>
      <c r="C10" s="13" t="s">
        <v>67</v>
      </c>
      <c r="D10" s="13" t="s">
        <v>2</v>
      </c>
      <c r="E10" s="28" t="s">
        <v>68</v>
      </c>
      <c r="F10" s="13" t="s">
        <v>18</v>
      </c>
      <c r="G10" s="13" t="s">
        <v>34</v>
      </c>
      <c r="H10" s="13" t="s">
        <v>24</v>
      </c>
      <c r="I10" s="13">
        <v>1000</v>
      </c>
      <c r="J10" s="23">
        <v>99.5</v>
      </c>
      <c r="K10" s="13" t="s">
        <v>0</v>
      </c>
      <c r="L10" s="13">
        <v>0</v>
      </c>
      <c r="M10" s="13">
        <v>0</v>
      </c>
      <c r="N10" s="24">
        <v>0</v>
      </c>
      <c r="O10" s="24"/>
      <c r="P10" s="13" t="s">
        <v>17</v>
      </c>
      <c r="Q10" s="30">
        <v>5.52</v>
      </c>
      <c r="R10" s="13">
        <f t="shared" si="0"/>
        <v>5520</v>
      </c>
      <c r="S10" s="26" t="s">
        <v>53</v>
      </c>
      <c r="T10" s="13">
        <v>0</v>
      </c>
      <c r="U10" s="26" t="s">
        <v>51</v>
      </c>
      <c r="V10" s="21" t="s">
        <v>47</v>
      </c>
    </row>
    <row r="11" spans="1:22" x14ac:dyDescent="0.25">
      <c r="A11" s="41"/>
      <c r="B11" s="27">
        <v>44657</v>
      </c>
      <c r="C11" s="13"/>
      <c r="D11" s="13" t="s">
        <v>2</v>
      </c>
      <c r="E11" s="28"/>
      <c r="F11" s="13" t="s">
        <v>7</v>
      </c>
      <c r="G11" s="13" t="s">
        <v>35</v>
      </c>
      <c r="H11" s="13" t="s">
        <v>24</v>
      </c>
      <c r="I11" s="13">
        <v>500</v>
      </c>
      <c r="J11" s="23">
        <v>96</v>
      </c>
      <c r="K11" s="13" t="s">
        <v>0</v>
      </c>
      <c r="L11" s="13">
        <v>0</v>
      </c>
      <c r="M11" s="13">
        <v>0</v>
      </c>
      <c r="N11" s="24">
        <v>0</v>
      </c>
      <c r="O11" s="24"/>
      <c r="P11" s="13" t="s">
        <v>69</v>
      </c>
      <c r="Q11" s="30">
        <v>4</v>
      </c>
      <c r="R11" s="13">
        <f t="shared" si="0"/>
        <v>2000</v>
      </c>
      <c r="S11" s="13">
        <v>0</v>
      </c>
      <c r="T11" s="26" t="s">
        <v>54</v>
      </c>
      <c r="U11" s="13">
        <v>0</v>
      </c>
      <c r="V11" s="28" t="s">
        <v>47</v>
      </c>
    </row>
    <row r="12" spans="1:22" x14ac:dyDescent="0.25">
      <c r="A12" s="41"/>
      <c r="B12" s="27">
        <v>44658</v>
      </c>
      <c r="C12" s="13"/>
      <c r="D12" s="13" t="s">
        <v>2</v>
      </c>
      <c r="E12" s="28"/>
      <c r="F12" s="13" t="s">
        <v>7</v>
      </c>
      <c r="G12" s="13" t="s">
        <v>35</v>
      </c>
      <c r="H12" s="13" t="s">
        <v>28</v>
      </c>
      <c r="I12" s="13">
        <v>520</v>
      </c>
      <c r="J12" s="13">
        <v>96</v>
      </c>
      <c r="K12" s="13" t="s">
        <v>0</v>
      </c>
      <c r="L12" s="13">
        <v>0</v>
      </c>
      <c r="M12" s="13">
        <v>0</v>
      </c>
      <c r="N12" s="24">
        <v>0</v>
      </c>
      <c r="O12" s="24"/>
      <c r="P12" s="13" t="s">
        <v>70</v>
      </c>
      <c r="Q12" s="29">
        <v>4</v>
      </c>
      <c r="R12" s="13">
        <f t="shared" si="0"/>
        <v>2080</v>
      </c>
      <c r="S12" s="13">
        <v>0</v>
      </c>
      <c r="T12" s="26" t="s">
        <v>55</v>
      </c>
      <c r="U12" s="13">
        <v>0</v>
      </c>
      <c r="V12" s="28" t="s">
        <v>47</v>
      </c>
    </row>
    <row r="13" spans="1:22" x14ac:dyDescent="0.25">
      <c r="A13" s="41"/>
      <c r="B13" s="27">
        <v>44657</v>
      </c>
      <c r="C13" s="13"/>
      <c r="D13" s="13" t="s">
        <v>2</v>
      </c>
      <c r="E13" s="28"/>
      <c r="F13" s="13" t="s">
        <v>7</v>
      </c>
      <c r="G13" s="13" t="s">
        <v>71</v>
      </c>
      <c r="H13" s="13" t="s">
        <v>19</v>
      </c>
      <c r="I13" s="13">
        <v>500</v>
      </c>
      <c r="J13" s="13">
        <v>70</v>
      </c>
      <c r="K13" s="13" t="s">
        <v>0</v>
      </c>
      <c r="L13" s="13">
        <v>0</v>
      </c>
      <c r="M13" s="13">
        <v>0</v>
      </c>
      <c r="N13" s="24">
        <v>0</v>
      </c>
      <c r="O13" s="24"/>
      <c r="P13" s="13" t="s">
        <v>72</v>
      </c>
      <c r="Q13" s="29">
        <v>4.5</v>
      </c>
      <c r="R13" s="13">
        <f t="shared" si="0"/>
        <v>2250</v>
      </c>
      <c r="S13" s="13">
        <v>0</v>
      </c>
      <c r="T13" s="26" t="s">
        <v>54</v>
      </c>
      <c r="U13" s="13">
        <v>0</v>
      </c>
      <c r="V13" s="28" t="s">
        <v>47</v>
      </c>
    </row>
    <row r="14" spans="1:22" x14ac:dyDescent="0.25">
      <c r="A14" s="34" t="s">
        <v>13</v>
      </c>
      <c r="B14" s="19">
        <v>44652</v>
      </c>
      <c r="C14" s="13"/>
      <c r="D14" s="13" t="s">
        <v>2</v>
      </c>
      <c r="E14" s="13"/>
      <c r="F14" s="13"/>
      <c r="G14" s="13" t="s">
        <v>35</v>
      </c>
      <c r="H14" s="13" t="s">
        <v>73</v>
      </c>
      <c r="I14" s="13">
        <v>100</v>
      </c>
      <c r="J14" s="13">
        <v>96</v>
      </c>
      <c r="K14" s="13" t="s">
        <v>0</v>
      </c>
      <c r="L14" s="13">
        <v>0</v>
      </c>
      <c r="M14" s="13">
        <v>0</v>
      </c>
      <c r="N14" s="13">
        <v>0</v>
      </c>
      <c r="O14" s="13"/>
      <c r="P14" s="13"/>
      <c r="Q14" s="13">
        <v>0</v>
      </c>
      <c r="R14" s="13">
        <f t="shared" si="0"/>
        <v>0</v>
      </c>
      <c r="S14" s="13">
        <v>0</v>
      </c>
      <c r="T14" s="26" t="s">
        <v>56</v>
      </c>
      <c r="U14" s="13">
        <v>0</v>
      </c>
      <c r="V14" s="28" t="s">
        <v>47</v>
      </c>
    </row>
    <row r="15" spans="1:22" x14ac:dyDescent="0.25">
      <c r="A15" s="35"/>
      <c r="B15" s="19">
        <v>44679</v>
      </c>
      <c r="C15" s="13"/>
      <c r="D15" s="13" t="s">
        <v>2</v>
      </c>
      <c r="E15" s="13"/>
      <c r="F15" s="13"/>
      <c r="G15" s="13" t="s">
        <v>71</v>
      </c>
      <c r="H15" s="13" t="s">
        <v>73</v>
      </c>
      <c r="I15" s="13">
        <v>258</v>
      </c>
      <c r="J15" s="13">
        <v>70</v>
      </c>
      <c r="K15" s="13" t="s">
        <v>0</v>
      </c>
      <c r="L15" s="13">
        <v>0</v>
      </c>
      <c r="M15" s="13">
        <v>0</v>
      </c>
      <c r="N15" s="13">
        <v>0</v>
      </c>
      <c r="O15" s="13"/>
      <c r="P15" s="13"/>
      <c r="Q15" s="13">
        <v>0</v>
      </c>
      <c r="R15" s="13">
        <v>0</v>
      </c>
      <c r="S15" s="13">
        <v>0</v>
      </c>
      <c r="T15" s="26" t="s">
        <v>57</v>
      </c>
      <c r="U15" s="13">
        <v>0</v>
      </c>
      <c r="V15" s="28" t="s">
        <v>47</v>
      </c>
    </row>
    <row r="16" spans="1:22" x14ac:dyDescent="0.25">
      <c r="A16" s="31" t="s">
        <v>74</v>
      </c>
      <c r="B16" s="27">
        <v>44653</v>
      </c>
      <c r="C16" s="13"/>
      <c r="D16" s="13" t="s">
        <v>2</v>
      </c>
      <c r="E16" s="13"/>
      <c r="F16" s="13"/>
      <c r="G16" s="13" t="s">
        <v>35</v>
      </c>
      <c r="H16" s="13" t="s">
        <v>24</v>
      </c>
      <c r="I16" s="13">
        <v>700</v>
      </c>
      <c r="J16" s="13">
        <v>96</v>
      </c>
      <c r="K16" s="13" t="s">
        <v>0</v>
      </c>
      <c r="L16" s="13">
        <v>0</v>
      </c>
      <c r="M16" s="13">
        <v>0</v>
      </c>
      <c r="N16" s="13">
        <v>0</v>
      </c>
      <c r="O16" s="13"/>
      <c r="P16" s="13"/>
      <c r="Q16" s="13">
        <v>0</v>
      </c>
      <c r="R16" s="13">
        <f t="shared" si="0"/>
        <v>0</v>
      </c>
      <c r="S16" s="13">
        <v>0</v>
      </c>
      <c r="T16" s="26" t="s">
        <v>58</v>
      </c>
      <c r="U16" s="13">
        <v>0</v>
      </c>
      <c r="V16" s="28" t="s">
        <v>47</v>
      </c>
    </row>
    <row r="17" spans="1:22" x14ac:dyDescent="0.25">
      <c r="A17" s="34" t="s">
        <v>39</v>
      </c>
      <c r="B17" s="27">
        <v>44680</v>
      </c>
      <c r="C17" s="13"/>
      <c r="D17" s="13" t="s">
        <v>2</v>
      </c>
      <c r="E17" s="13"/>
      <c r="F17" s="13"/>
      <c r="G17" s="13" t="s">
        <v>34</v>
      </c>
      <c r="H17" s="13" t="s">
        <v>28</v>
      </c>
      <c r="I17" s="13">
        <v>300</v>
      </c>
      <c r="J17" s="13">
        <v>99.5</v>
      </c>
      <c r="K17" s="13" t="s">
        <v>0</v>
      </c>
      <c r="L17" s="13">
        <v>0</v>
      </c>
      <c r="M17" s="13">
        <v>0</v>
      </c>
      <c r="N17" s="13">
        <v>0</v>
      </c>
      <c r="O17" s="13"/>
      <c r="P17" s="13"/>
      <c r="Q17" s="13">
        <v>0</v>
      </c>
      <c r="R17" s="13">
        <f t="shared" si="0"/>
        <v>0</v>
      </c>
      <c r="S17" s="13">
        <v>0</v>
      </c>
      <c r="T17" s="26" t="s">
        <v>59</v>
      </c>
      <c r="U17" s="13">
        <v>0</v>
      </c>
      <c r="V17" s="28" t="s">
        <v>47</v>
      </c>
    </row>
    <row r="18" spans="1:22" x14ac:dyDescent="0.25">
      <c r="A18" s="36"/>
      <c r="B18" s="27">
        <v>44680</v>
      </c>
      <c r="C18" s="13"/>
      <c r="D18" s="13" t="s">
        <v>2</v>
      </c>
      <c r="E18" s="13"/>
      <c r="F18" s="13"/>
      <c r="G18" s="13" t="s">
        <v>35</v>
      </c>
      <c r="H18" s="13" t="s">
        <v>28</v>
      </c>
      <c r="I18" s="13">
        <v>310</v>
      </c>
      <c r="J18" s="13">
        <v>96</v>
      </c>
      <c r="K18" s="13" t="s">
        <v>0</v>
      </c>
      <c r="L18" s="13">
        <v>0</v>
      </c>
      <c r="M18" s="13">
        <v>0</v>
      </c>
      <c r="N18" s="13">
        <v>0</v>
      </c>
      <c r="O18" s="13"/>
      <c r="P18" s="13"/>
      <c r="Q18" s="13">
        <v>0</v>
      </c>
      <c r="R18" s="13">
        <v>0</v>
      </c>
      <c r="S18" s="13">
        <v>0</v>
      </c>
      <c r="T18" s="26" t="s">
        <v>59</v>
      </c>
      <c r="U18" s="13">
        <v>0</v>
      </c>
      <c r="V18" s="28" t="s">
        <v>47</v>
      </c>
    </row>
    <row r="19" spans="1:22" x14ac:dyDescent="0.25">
      <c r="A19" s="35"/>
      <c r="B19" s="27">
        <v>44680</v>
      </c>
      <c r="C19" s="13"/>
      <c r="D19" s="13" t="s">
        <v>2</v>
      </c>
      <c r="E19" s="13"/>
      <c r="F19" s="13"/>
      <c r="G19" s="13" t="s">
        <v>71</v>
      </c>
      <c r="H19" s="13" t="s">
        <v>28</v>
      </c>
      <c r="I19" s="13">
        <v>308</v>
      </c>
      <c r="J19" s="13">
        <v>70</v>
      </c>
      <c r="K19" s="13" t="s">
        <v>0</v>
      </c>
      <c r="L19" s="13">
        <v>0</v>
      </c>
      <c r="M19" s="13">
        <v>0</v>
      </c>
      <c r="N19" s="13">
        <v>0</v>
      </c>
      <c r="O19" s="13"/>
      <c r="P19" s="13"/>
      <c r="Q19" s="13">
        <v>0</v>
      </c>
      <c r="R19" s="13">
        <v>0</v>
      </c>
      <c r="S19" s="13">
        <v>0</v>
      </c>
      <c r="T19" s="26" t="s">
        <v>59</v>
      </c>
      <c r="U19" s="13">
        <v>0</v>
      </c>
      <c r="V19" s="28" t="s">
        <v>47</v>
      </c>
    </row>
    <row r="20" spans="1:22" x14ac:dyDescent="0.25">
      <c r="A20" s="37" t="s">
        <v>75</v>
      </c>
      <c r="B20" s="27">
        <v>44666</v>
      </c>
      <c r="C20" s="13"/>
      <c r="D20" s="13" t="s">
        <v>2</v>
      </c>
      <c r="E20" s="13"/>
      <c r="F20" s="13"/>
      <c r="G20" s="13" t="s">
        <v>34</v>
      </c>
      <c r="H20" s="13" t="s">
        <v>24</v>
      </c>
      <c r="I20" s="13">
        <v>29000</v>
      </c>
      <c r="J20" s="13">
        <v>99.5</v>
      </c>
      <c r="K20" s="13" t="s">
        <v>0</v>
      </c>
      <c r="L20" s="13">
        <v>6532847</v>
      </c>
      <c r="M20" s="13">
        <v>956</v>
      </c>
      <c r="N20" s="13">
        <v>3535353535</v>
      </c>
      <c r="O20" s="13" t="s">
        <v>37</v>
      </c>
      <c r="P20" s="13" t="s">
        <v>17</v>
      </c>
      <c r="Q20" s="13">
        <v>0</v>
      </c>
      <c r="R20" s="13">
        <f t="shared" si="0"/>
        <v>0</v>
      </c>
      <c r="S20" s="13">
        <v>0</v>
      </c>
      <c r="T20" s="13">
        <v>0</v>
      </c>
      <c r="U20" s="26" t="s">
        <v>46</v>
      </c>
      <c r="V20" s="28" t="s">
        <v>76</v>
      </c>
    </row>
    <row r="21" spans="1:22" x14ac:dyDescent="0.25">
      <c r="A21" s="37"/>
      <c r="B21" s="27">
        <v>44681</v>
      </c>
      <c r="C21" s="13"/>
      <c r="D21" s="13" t="s">
        <v>2</v>
      </c>
      <c r="E21" s="13"/>
      <c r="F21" s="13"/>
      <c r="G21" s="13" t="s">
        <v>34</v>
      </c>
      <c r="H21" s="13" t="s">
        <v>24</v>
      </c>
      <c r="I21" s="13">
        <v>29900</v>
      </c>
      <c r="J21" s="13">
        <v>99.5</v>
      </c>
      <c r="K21" s="13" t="s">
        <v>0</v>
      </c>
      <c r="L21" s="13">
        <v>6532847</v>
      </c>
      <c r="M21" s="13">
        <v>652</v>
      </c>
      <c r="N21" s="13">
        <v>45852145141</v>
      </c>
      <c r="O21" s="13" t="s">
        <v>38</v>
      </c>
      <c r="P21" s="13" t="s">
        <v>17</v>
      </c>
      <c r="Q21" s="13">
        <v>0</v>
      </c>
      <c r="R21" s="13">
        <f t="shared" si="0"/>
        <v>0</v>
      </c>
      <c r="S21" s="13">
        <v>0</v>
      </c>
      <c r="T21" s="13">
        <v>0</v>
      </c>
      <c r="U21" s="26" t="s">
        <v>51</v>
      </c>
      <c r="V21" s="28" t="s">
        <v>76</v>
      </c>
    </row>
  </sheetData>
  <mergeCells count="6">
    <mergeCell ref="A14:A15"/>
    <mergeCell ref="A17:A19"/>
    <mergeCell ref="A20:A21"/>
    <mergeCell ref="L4:R4"/>
    <mergeCell ref="S4:V4"/>
    <mergeCell ref="A5:A13"/>
  </mergeCells>
  <pageMargins left="0.45" right="0.7" top="0.75" bottom="0.75" header="0.3" footer="0.3"/>
  <pageSetup paperSize="5" scale="51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D7" sqref="D7"/>
    </sheetView>
  </sheetViews>
  <sheetFormatPr baseColWidth="10" defaultRowHeight="15" x14ac:dyDescent="0.25"/>
  <cols>
    <col min="1" max="1" width="15.7109375" customWidth="1"/>
    <col min="2" max="2" width="63.85546875" customWidth="1"/>
  </cols>
  <sheetData>
    <row r="1" spans="1:2" ht="31.5" thickTop="1" thickBot="1" x14ac:dyDescent="0.3">
      <c r="A1" s="32" t="s">
        <v>79</v>
      </c>
      <c r="B1" s="32" t="s">
        <v>80</v>
      </c>
    </row>
    <row r="2" spans="1:2" ht="24.75" customHeight="1" thickTop="1" thickBot="1" x14ac:dyDescent="0.3">
      <c r="A2" s="33" t="s">
        <v>81</v>
      </c>
      <c r="B2" s="33" t="s">
        <v>82</v>
      </c>
    </row>
    <row r="3" spans="1:2" ht="20.25" customHeight="1" thickTop="1" thickBot="1" x14ac:dyDescent="0.3">
      <c r="A3" s="33" t="s">
        <v>81</v>
      </c>
      <c r="B3" s="33" t="s">
        <v>83</v>
      </c>
    </row>
    <row r="4" spans="1:2" ht="16.5" thickTop="1" thickBot="1" x14ac:dyDescent="0.3">
      <c r="A4" s="33" t="s">
        <v>81</v>
      </c>
      <c r="B4" s="33" t="s">
        <v>84</v>
      </c>
    </row>
    <row r="5" spans="1:2" ht="21" customHeight="1" thickTop="1" thickBot="1" x14ac:dyDescent="0.3">
      <c r="A5" s="33" t="s">
        <v>81</v>
      </c>
      <c r="B5" s="33" t="s">
        <v>85</v>
      </c>
    </row>
    <row r="6" spans="1:2" ht="21" customHeight="1" thickTop="1" thickBot="1" x14ac:dyDescent="0.3">
      <c r="A6" s="33" t="s">
        <v>86</v>
      </c>
      <c r="B6" s="33" t="s">
        <v>87</v>
      </c>
    </row>
    <row r="7" spans="1:2" ht="16.5" thickTop="1" thickBot="1" x14ac:dyDescent="0.3">
      <c r="A7" s="33" t="s">
        <v>86</v>
      </c>
      <c r="B7" s="33" t="s">
        <v>88</v>
      </c>
    </row>
    <row r="8" spans="1:2" ht="16.5" thickTop="1" thickBot="1" x14ac:dyDescent="0.3">
      <c r="A8" s="33" t="s">
        <v>89</v>
      </c>
      <c r="B8" s="33" t="s">
        <v>90</v>
      </c>
    </row>
    <row r="9" spans="1:2" ht="16.5" thickTop="1" thickBot="1" x14ac:dyDescent="0.3">
      <c r="A9" s="33" t="s">
        <v>89</v>
      </c>
      <c r="B9" s="33" t="s">
        <v>91</v>
      </c>
    </row>
    <row r="10" spans="1:2" ht="16.5" thickTop="1" thickBot="1" x14ac:dyDescent="0.3">
      <c r="A10" s="33" t="s">
        <v>89</v>
      </c>
      <c r="B10" s="33" t="s">
        <v>92</v>
      </c>
    </row>
    <row r="11" spans="1:2" ht="16.5" thickTop="1" thickBot="1" x14ac:dyDescent="0.3">
      <c r="A11" s="33" t="s">
        <v>93</v>
      </c>
      <c r="B11" s="33" t="s">
        <v>94</v>
      </c>
    </row>
    <row r="12" spans="1:2" ht="16.5" thickTop="1" thickBot="1" x14ac:dyDescent="0.3">
      <c r="A12" s="33" t="s">
        <v>95</v>
      </c>
      <c r="B12" s="33" t="s">
        <v>96</v>
      </c>
    </row>
    <row r="13" spans="1:2" ht="16.5" thickTop="1" thickBot="1" x14ac:dyDescent="0.3">
      <c r="A13" s="33" t="s">
        <v>97</v>
      </c>
      <c r="B13" s="33" t="s">
        <v>98</v>
      </c>
    </row>
    <row r="14" spans="1:2" ht="16.5" thickTop="1" thickBot="1" x14ac:dyDescent="0.3">
      <c r="A14" s="33" t="s">
        <v>99</v>
      </c>
      <c r="B14" s="33" t="s">
        <v>100</v>
      </c>
    </row>
    <row r="15" spans="1:2" ht="16.5" thickTop="1" thickBot="1" x14ac:dyDescent="0.3">
      <c r="A15" s="33" t="s">
        <v>99</v>
      </c>
      <c r="B15" s="33" t="s">
        <v>101</v>
      </c>
    </row>
    <row r="16" spans="1:2" ht="16.5" thickTop="1" thickBot="1" x14ac:dyDescent="0.3">
      <c r="A16" s="33" t="s">
        <v>99</v>
      </c>
      <c r="B16" s="33" t="s">
        <v>102</v>
      </c>
    </row>
    <row r="17" spans="1:2" ht="16.5" thickTop="1" thickBot="1" x14ac:dyDescent="0.3">
      <c r="A17" s="33" t="s">
        <v>99</v>
      </c>
      <c r="B17" s="33" t="s">
        <v>103</v>
      </c>
    </row>
    <row r="18" spans="1:2" ht="16.5" thickTop="1" thickBot="1" x14ac:dyDescent="0.3">
      <c r="A18" s="33" t="s">
        <v>104</v>
      </c>
      <c r="B18" s="33" t="s">
        <v>105</v>
      </c>
    </row>
    <row r="19" spans="1:2" ht="16.5" thickTop="1" thickBot="1" x14ac:dyDescent="0.3">
      <c r="A19" s="33" t="s">
        <v>104</v>
      </c>
      <c r="B19" s="33" t="s">
        <v>106</v>
      </c>
    </row>
    <row r="20" spans="1:2" ht="16.5" thickTop="1" thickBot="1" x14ac:dyDescent="0.3">
      <c r="A20" s="33" t="s">
        <v>104</v>
      </c>
      <c r="B20" s="33" t="s">
        <v>107</v>
      </c>
    </row>
    <row r="21" spans="1:2" ht="16.5" thickTop="1" thickBot="1" x14ac:dyDescent="0.3">
      <c r="A21" s="33" t="s">
        <v>104</v>
      </c>
      <c r="B21" s="33" t="s">
        <v>108</v>
      </c>
    </row>
    <row r="22" spans="1:2" ht="16.5" thickTop="1" thickBot="1" x14ac:dyDescent="0.3">
      <c r="A22" s="33" t="s">
        <v>104</v>
      </c>
      <c r="B22" s="33" t="s">
        <v>109</v>
      </c>
    </row>
    <row r="23" spans="1:2" ht="16.5" thickTop="1" thickBot="1" x14ac:dyDescent="0.3">
      <c r="A23" s="33" t="s">
        <v>104</v>
      </c>
      <c r="B23" s="33" t="s">
        <v>110</v>
      </c>
    </row>
    <row r="24" spans="1:2" ht="16.5" thickTop="1" thickBot="1" x14ac:dyDescent="0.3">
      <c r="A24" s="33" t="s">
        <v>104</v>
      </c>
      <c r="B24" s="33" t="s">
        <v>111</v>
      </c>
    </row>
    <row r="25" spans="1:2" ht="16.5" thickTop="1" thickBot="1" x14ac:dyDescent="0.3">
      <c r="A25" s="33" t="s">
        <v>104</v>
      </c>
      <c r="B25" s="33" t="s">
        <v>112</v>
      </c>
    </row>
    <row r="26" spans="1:2" ht="16.5" thickTop="1" thickBot="1" x14ac:dyDescent="0.3">
      <c r="A26" s="33" t="s">
        <v>113</v>
      </c>
      <c r="B26" s="33" t="s">
        <v>114</v>
      </c>
    </row>
    <row r="27" spans="1:2" ht="16.5" thickTop="1" thickBot="1" x14ac:dyDescent="0.3">
      <c r="A27" s="33" t="s">
        <v>113</v>
      </c>
      <c r="B27" s="33" t="s">
        <v>115</v>
      </c>
    </row>
    <row r="28" spans="1:2" ht="16.5" thickTop="1" thickBot="1" x14ac:dyDescent="0.3">
      <c r="A28" s="33" t="s">
        <v>113</v>
      </c>
      <c r="B28" s="33" t="s">
        <v>116</v>
      </c>
    </row>
    <row r="29" spans="1:2" ht="16.5" thickTop="1" thickBot="1" x14ac:dyDescent="0.3">
      <c r="A29" s="33" t="s">
        <v>113</v>
      </c>
      <c r="B29" s="33" t="s">
        <v>117</v>
      </c>
    </row>
    <row r="30" spans="1:2" ht="16.5" thickTop="1" thickBot="1" x14ac:dyDescent="0.3">
      <c r="A30" s="33" t="s">
        <v>113</v>
      </c>
      <c r="B30" s="33" t="s">
        <v>118</v>
      </c>
    </row>
    <row r="31" spans="1:2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G32" sqref="G32"/>
    </sheetView>
  </sheetViews>
  <sheetFormatPr baseColWidth="10" defaultRowHeight="15" x14ac:dyDescent="0.25"/>
  <sheetData>
    <row r="1" spans="1:21" x14ac:dyDescent="0.25">
      <c r="A1" s="27">
        <v>44666</v>
      </c>
      <c r="B1" s="13"/>
      <c r="C1" s="13" t="s">
        <v>2</v>
      </c>
      <c r="D1" s="13"/>
      <c r="E1" s="13"/>
      <c r="F1" s="13" t="s">
        <v>34</v>
      </c>
      <c r="G1" s="13" t="s">
        <v>24</v>
      </c>
      <c r="H1" s="13">
        <v>29000</v>
      </c>
      <c r="I1" s="13">
        <v>99.5</v>
      </c>
      <c r="J1" s="13" t="s">
        <v>0</v>
      </c>
      <c r="K1" s="13">
        <v>6532847</v>
      </c>
      <c r="L1" s="13">
        <v>956</v>
      </c>
      <c r="M1" s="13">
        <v>3535353535</v>
      </c>
      <c r="N1" s="13" t="s">
        <v>37</v>
      </c>
      <c r="O1" s="13" t="s">
        <v>17</v>
      </c>
      <c r="P1" s="13">
        <v>0</v>
      </c>
      <c r="Q1" s="13">
        <f t="shared" ref="Q1:Q2" si="0">H1*P1</f>
        <v>0</v>
      </c>
      <c r="R1" s="13">
        <v>0</v>
      </c>
      <c r="S1" s="13">
        <v>0</v>
      </c>
      <c r="T1" s="26" t="s">
        <v>46</v>
      </c>
      <c r="U1" s="28" t="s">
        <v>76</v>
      </c>
    </row>
    <row r="2" spans="1:21" x14ac:dyDescent="0.25">
      <c r="A2" s="27">
        <v>44681</v>
      </c>
      <c r="B2" s="13"/>
      <c r="C2" s="13" t="s">
        <v>2</v>
      </c>
      <c r="D2" s="13"/>
      <c r="E2" s="13"/>
      <c r="F2" s="13" t="s">
        <v>34</v>
      </c>
      <c r="G2" s="13" t="s">
        <v>24</v>
      </c>
      <c r="H2" s="13">
        <v>29900</v>
      </c>
      <c r="I2" s="13">
        <v>99.5</v>
      </c>
      <c r="J2" s="13" t="s">
        <v>0</v>
      </c>
      <c r="K2" s="13">
        <v>6532847</v>
      </c>
      <c r="L2" s="13">
        <v>652</v>
      </c>
      <c r="M2" s="13">
        <v>45852145141</v>
      </c>
      <c r="N2" s="13" t="s">
        <v>38</v>
      </c>
      <c r="O2" s="13" t="s">
        <v>17</v>
      </c>
      <c r="P2" s="13">
        <v>0</v>
      </c>
      <c r="Q2" s="13">
        <f t="shared" si="0"/>
        <v>0</v>
      </c>
      <c r="R2" s="13">
        <v>0</v>
      </c>
      <c r="S2" s="13">
        <v>0</v>
      </c>
      <c r="T2" s="26" t="s">
        <v>51</v>
      </c>
      <c r="U2" s="28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C27" sqref="C27"/>
    </sheetView>
  </sheetViews>
  <sheetFormatPr baseColWidth="10" defaultRowHeight="15" x14ac:dyDescent="0.25"/>
  <sheetData>
    <row r="1" spans="1:21" x14ac:dyDescent="0.25">
      <c r="A1" s="27">
        <v>44653</v>
      </c>
      <c r="B1" s="13"/>
      <c r="C1" s="13" t="s">
        <v>2</v>
      </c>
      <c r="D1" s="13"/>
      <c r="E1" s="13"/>
      <c r="F1" s="13" t="s">
        <v>35</v>
      </c>
      <c r="G1" s="13" t="s">
        <v>24</v>
      </c>
      <c r="H1" s="13">
        <v>700</v>
      </c>
      <c r="I1" s="13">
        <v>96</v>
      </c>
      <c r="J1" s="13" t="s">
        <v>0</v>
      </c>
      <c r="K1" s="13">
        <v>0</v>
      </c>
      <c r="L1" s="13">
        <v>0</v>
      </c>
      <c r="M1" s="13">
        <v>0</v>
      </c>
      <c r="N1" s="13"/>
      <c r="O1" s="13"/>
      <c r="P1" s="13">
        <v>0</v>
      </c>
      <c r="Q1" s="13">
        <f t="shared" ref="Q1" si="0">H1*P1</f>
        <v>0</v>
      </c>
      <c r="R1" s="13">
        <v>0</v>
      </c>
      <c r="S1" s="26" t="s">
        <v>58</v>
      </c>
      <c r="T1" s="13">
        <v>0</v>
      </c>
      <c r="U1" s="28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E14" sqref="E14"/>
    </sheetView>
  </sheetViews>
  <sheetFormatPr baseColWidth="10" defaultRowHeight="15" x14ac:dyDescent="0.25"/>
  <sheetData>
    <row r="1" spans="1:21" x14ac:dyDescent="0.25">
      <c r="A1" s="19">
        <v>44652</v>
      </c>
      <c r="B1" s="20" t="s">
        <v>8</v>
      </c>
      <c r="C1" s="20" t="s">
        <v>2</v>
      </c>
      <c r="D1" s="21" t="s">
        <v>60</v>
      </c>
      <c r="E1" s="20" t="s">
        <v>18</v>
      </c>
      <c r="F1" s="20" t="s">
        <v>34</v>
      </c>
      <c r="G1" s="20" t="s">
        <v>24</v>
      </c>
      <c r="H1" s="22">
        <v>500</v>
      </c>
      <c r="I1" s="23">
        <v>99.5</v>
      </c>
      <c r="J1" s="20" t="s">
        <v>0</v>
      </c>
      <c r="K1" s="20">
        <v>0</v>
      </c>
      <c r="L1" s="20">
        <v>0</v>
      </c>
      <c r="M1" s="24">
        <v>0</v>
      </c>
      <c r="N1" s="13"/>
      <c r="O1" s="20" t="s">
        <v>17</v>
      </c>
      <c r="P1" s="25">
        <v>5.52</v>
      </c>
      <c r="Q1" s="13">
        <f>H1*P1</f>
        <v>2760</v>
      </c>
      <c r="R1" s="26" t="s">
        <v>45</v>
      </c>
      <c r="S1" s="20">
        <v>0</v>
      </c>
      <c r="T1" s="26" t="s">
        <v>46</v>
      </c>
      <c r="U1" s="21" t="s">
        <v>47</v>
      </c>
    </row>
    <row r="2" spans="1:21" x14ac:dyDescent="0.25">
      <c r="A2" s="27">
        <v>44653</v>
      </c>
      <c r="B2" s="13" t="s">
        <v>9</v>
      </c>
      <c r="C2" s="13" t="s">
        <v>2</v>
      </c>
      <c r="D2" s="28" t="s">
        <v>60</v>
      </c>
      <c r="E2" s="13" t="s">
        <v>18</v>
      </c>
      <c r="F2" s="13" t="s">
        <v>34</v>
      </c>
      <c r="G2" s="13" t="s">
        <v>24</v>
      </c>
      <c r="H2" s="13">
        <v>1000</v>
      </c>
      <c r="I2" s="23">
        <v>99.5</v>
      </c>
      <c r="J2" s="13" t="s">
        <v>0</v>
      </c>
      <c r="K2" s="13">
        <v>0</v>
      </c>
      <c r="L2" s="13">
        <v>0</v>
      </c>
      <c r="M2" s="24">
        <v>0</v>
      </c>
      <c r="N2" s="13"/>
      <c r="O2" s="13" t="s">
        <v>17</v>
      </c>
      <c r="P2" s="29">
        <v>5.52</v>
      </c>
      <c r="Q2" s="13">
        <f t="shared" ref="Q2:Q9" si="0">H2*P2</f>
        <v>5520</v>
      </c>
      <c r="R2" s="26" t="s">
        <v>48</v>
      </c>
      <c r="S2" s="13">
        <v>0</v>
      </c>
      <c r="T2" s="26" t="s">
        <v>46</v>
      </c>
      <c r="U2" s="21" t="s">
        <v>47</v>
      </c>
    </row>
    <row r="3" spans="1:21" x14ac:dyDescent="0.25">
      <c r="A3" s="27">
        <v>44666</v>
      </c>
      <c r="B3" s="13" t="s">
        <v>61</v>
      </c>
      <c r="C3" s="13" t="s">
        <v>2</v>
      </c>
      <c r="D3" s="28" t="s">
        <v>62</v>
      </c>
      <c r="E3" s="13" t="s">
        <v>18</v>
      </c>
      <c r="F3" s="13" t="s">
        <v>34</v>
      </c>
      <c r="G3" s="13" t="s">
        <v>24</v>
      </c>
      <c r="H3" s="13">
        <v>500</v>
      </c>
      <c r="I3" s="23">
        <v>99.5</v>
      </c>
      <c r="J3" s="13" t="s">
        <v>0</v>
      </c>
      <c r="K3" s="13">
        <v>0</v>
      </c>
      <c r="L3" s="13">
        <v>0</v>
      </c>
      <c r="M3" s="24">
        <v>0</v>
      </c>
      <c r="N3" s="13"/>
      <c r="O3" s="13" t="s">
        <v>17</v>
      </c>
      <c r="P3" s="29">
        <v>5.52</v>
      </c>
      <c r="Q3" s="13">
        <f t="shared" si="0"/>
        <v>2760</v>
      </c>
      <c r="R3" s="26" t="s">
        <v>49</v>
      </c>
      <c r="S3" s="13">
        <v>0</v>
      </c>
      <c r="T3" s="26" t="s">
        <v>46</v>
      </c>
      <c r="U3" s="21" t="s">
        <v>47</v>
      </c>
    </row>
    <row r="4" spans="1:21" x14ac:dyDescent="0.25">
      <c r="A4" s="27">
        <v>44667</v>
      </c>
      <c r="B4" s="13" t="s">
        <v>63</v>
      </c>
      <c r="C4" s="13" t="s">
        <v>2</v>
      </c>
      <c r="D4" s="28" t="s">
        <v>64</v>
      </c>
      <c r="E4" s="13" t="s">
        <v>18</v>
      </c>
      <c r="F4" s="13" t="s">
        <v>34</v>
      </c>
      <c r="G4" s="13" t="s">
        <v>24</v>
      </c>
      <c r="H4" s="13">
        <v>500</v>
      </c>
      <c r="I4" s="23">
        <v>99.5</v>
      </c>
      <c r="J4" s="13" t="s">
        <v>0</v>
      </c>
      <c r="K4" s="13">
        <v>0</v>
      </c>
      <c r="L4" s="13">
        <v>0</v>
      </c>
      <c r="M4" s="24">
        <v>0</v>
      </c>
      <c r="N4" s="24"/>
      <c r="O4" s="13" t="s">
        <v>17</v>
      </c>
      <c r="P4" s="29">
        <v>5.52</v>
      </c>
      <c r="Q4" s="13">
        <f t="shared" si="0"/>
        <v>2760</v>
      </c>
      <c r="R4" s="26" t="s">
        <v>50</v>
      </c>
      <c r="S4" s="13">
        <v>0</v>
      </c>
      <c r="T4" s="26" t="s">
        <v>51</v>
      </c>
      <c r="U4" s="21" t="s">
        <v>47</v>
      </c>
    </row>
    <row r="5" spans="1:21" x14ac:dyDescent="0.25">
      <c r="A5" s="27">
        <v>44732</v>
      </c>
      <c r="B5" s="13" t="s">
        <v>65</v>
      </c>
      <c r="C5" s="13" t="s">
        <v>2</v>
      </c>
      <c r="D5" s="28" t="s">
        <v>66</v>
      </c>
      <c r="E5" s="13" t="s">
        <v>18</v>
      </c>
      <c r="F5" s="13" t="s">
        <v>34</v>
      </c>
      <c r="G5" s="13" t="s">
        <v>24</v>
      </c>
      <c r="H5" s="13">
        <v>30000</v>
      </c>
      <c r="I5" s="23">
        <v>99.5</v>
      </c>
      <c r="J5" s="13" t="s">
        <v>0</v>
      </c>
      <c r="K5" s="13">
        <v>0</v>
      </c>
      <c r="L5" s="13">
        <v>0</v>
      </c>
      <c r="M5" s="24">
        <v>0</v>
      </c>
      <c r="N5" s="24"/>
      <c r="O5" s="13" t="s">
        <v>17</v>
      </c>
      <c r="P5" s="29">
        <v>5.52</v>
      </c>
      <c r="Q5" s="13">
        <f t="shared" si="0"/>
        <v>165600</v>
      </c>
      <c r="R5" s="26" t="s">
        <v>52</v>
      </c>
      <c r="S5" s="13">
        <v>0</v>
      </c>
      <c r="T5" s="26" t="s">
        <v>51</v>
      </c>
      <c r="U5" s="21" t="s">
        <v>47</v>
      </c>
    </row>
    <row r="6" spans="1:21" x14ac:dyDescent="0.25">
      <c r="A6" s="19">
        <v>44681</v>
      </c>
      <c r="B6" s="13" t="s">
        <v>67</v>
      </c>
      <c r="C6" s="13" t="s">
        <v>2</v>
      </c>
      <c r="D6" s="28" t="s">
        <v>68</v>
      </c>
      <c r="E6" s="13" t="s">
        <v>18</v>
      </c>
      <c r="F6" s="13" t="s">
        <v>34</v>
      </c>
      <c r="G6" s="13" t="s">
        <v>24</v>
      </c>
      <c r="H6" s="13">
        <v>1000</v>
      </c>
      <c r="I6" s="23">
        <v>99.5</v>
      </c>
      <c r="J6" s="13" t="s">
        <v>0</v>
      </c>
      <c r="K6" s="13">
        <v>0</v>
      </c>
      <c r="L6" s="13">
        <v>0</v>
      </c>
      <c r="M6" s="24">
        <v>0</v>
      </c>
      <c r="N6" s="24"/>
      <c r="O6" s="13" t="s">
        <v>17</v>
      </c>
      <c r="P6" s="30">
        <v>5.52</v>
      </c>
      <c r="Q6" s="13">
        <f t="shared" si="0"/>
        <v>5520</v>
      </c>
      <c r="R6" s="26" t="s">
        <v>53</v>
      </c>
      <c r="S6" s="13">
        <v>0</v>
      </c>
      <c r="T6" s="26" t="s">
        <v>51</v>
      </c>
      <c r="U6" s="21" t="s">
        <v>47</v>
      </c>
    </row>
    <row r="7" spans="1:21" x14ac:dyDescent="0.25">
      <c r="A7" s="27">
        <v>44657</v>
      </c>
      <c r="B7" s="13"/>
      <c r="C7" s="13" t="s">
        <v>2</v>
      </c>
      <c r="D7" s="28"/>
      <c r="E7" s="13" t="s">
        <v>7</v>
      </c>
      <c r="F7" s="13" t="s">
        <v>35</v>
      </c>
      <c r="G7" s="13" t="s">
        <v>24</v>
      </c>
      <c r="H7" s="13">
        <v>500</v>
      </c>
      <c r="I7" s="23">
        <v>96</v>
      </c>
      <c r="J7" s="13" t="s">
        <v>0</v>
      </c>
      <c r="K7" s="13">
        <v>0</v>
      </c>
      <c r="L7" s="13">
        <v>0</v>
      </c>
      <c r="M7" s="24">
        <v>0</v>
      </c>
      <c r="N7" s="24"/>
      <c r="O7" s="13" t="s">
        <v>69</v>
      </c>
      <c r="P7" s="30">
        <v>4</v>
      </c>
      <c r="Q7" s="13">
        <f t="shared" si="0"/>
        <v>2000</v>
      </c>
      <c r="R7" s="13">
        <v>0</v>
      </c>
      <c r="S7" s="26" t="s">
        <v>54</v>
      </c>
      <c r="T7" s="13">
        <v>0</v>
      </c>
      <c r="U7" s="28" t="s">
        <v>47</v>
      </c>
    </row>
    <row r="8" spans="1:21" x14ac:dyDescent="0.25">
      <c r="A8" s="27">
        <v>44658</v>
      </c>
      <c r="B8" s="13"/>
      <c r="C8" s="13" t="s">
        <v>2</v>
      </c>
      <c r="D8" s="28"/>
      <c r="E8" s="13" t="s">
        <v>7</v>
      </c>
      <c r="F8" s="13" t="s">
        <v>35</v>
      </c>
      <c r="G8" s="13" t="s">
        <v>28</v>
      </c>
      <c r="H8" s="13">
        <v>520</v>
      </c>
      <c r="I8" s="13">
        <v>96</v>
      </c>
      <c r="J8" s="13" t="s">
        <v>0</v>
      </c>
      <c r="K8" s="13">
        <v>0</v>
      </c>
      <c r="L8" s="13">
        <v>0</v>
      </c>
      <c r="M8" s="24">
        <v>0</v>
      </c>
      <c r="N8" s="24"/>
      <c r="O8" s="13" t="s">
        <v>70</v>
      </c>
      <c r="P8" s="29">
        <v>4</v>
      </c>
      <c r="Q8" s="13">
        <f t="shared" si="0"/>
        <v>2080</v>
      </c>
      <c r="R8" s="13">
        <v>0</v>
      </c>
      <c r="S8" s="26" t="s">
        <v>55</v>
      </c>
      <c r="T8" s="13">
        <v>0</v>
      </c>
      <c r="U8" s="28" t="s">
        <v>47</v>
      </c>
    </row>
    <row r="9" spans="1:21" x14ac:dyDescent="0.25">
      <c r="A9" s="27">
        <v>44657</v>
      </c>
      <c r="B9" s="13"/>
      <c r="C9" s="13" t="s">
        <v>2</v>
      </c>
      <c r="D9" s="28"/>
      <c r="E9" s="13" t="s">
        <v>7</v>
      </c>
      <c r="F9" s="13" t="s">
        <v>71</v>
      </c>
      <c r="G9" s="13" t="s">
        <v>19</v>
      </c>
      <c r="H9" s="13">
        <v>500</v>
      </c>
      <c r="I9" s="13">
        <v>70</v>
      </c>
      <c r="J9" s="13" t="s">
        <v>0</v>
      </c>
      <c r="K9" s="13">
        <v>0</v>
      </c>
      <c r="L9" s="13">
        <v>0</v>
      </c>
      <c r="M9" s="24">
        <v>0</v>
      </c>
      <c r="N9" s="24"/>
      <c r="O9" s="13" t="s">
        <v>72</v>
      </c>
      <c r="P9" s="29">
        <v>4.5</v>
      </c>
      <c r="Q9" s="13">
        <f t="shared" si="0"/>
        <v>2250</v>
      </c>
      <c r="R9" s="13">
        <v>0</v>
      </c>
      <c r="S9" s="26" t="s">
        <v>54</v>
      </c>
      <c r="T9" s="13">
        <v>0</v>
      </c>
      <c r="U9" s="2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E10" sqref="E10"/>
    </sheetView>
  </sheetViews>
  <sheetFormatPr baseColWidth="10" defaultRowHeight="15" x14ac:dyDescent="0.25"/>
  <sheetData>
    <row r="1" spans="1:21" x14ac:dyDescent="0.25">
      <c r="A1" s="19">
        <v>44652</v>
      </c>
      <c r="B1" s="13"/>
      <c r="C1" s="13" t="s">
        <v>2</v>
      </c>
      <c r="D1" s="13"/>
      <c r="E1" s="13"/>
      <c r="F1" s="13" t="s">
        <v>35</v>
      </c>
      <c r="G1" s="13" t="s">
        <v>73</v>
      </c>
      <c r="H1" s="13">
        <v>100</v>
      </c>
      <c r="I1" s="13">
        <v>96</v>
      </c>
      <c r="J1" s="13" t="s">
        <v>0</v>
      </c>
      <c r="K1" s="13">
        <v>0</v>
      </c>
      <c r="L1" s="13">
        <v>0</v>
      </c>
      <c r="M1" s="13">
        <v>0</v>
      </c>
      <c r="N1" s="13"/>
      <c r="O1" s="13"/>
      <c r="P1" s="13">
        <v>0</v>
      </c>
      <c r="Q1" s="13">
        <f t="shared" ref="Q1" si="0">H1*P1</f>
        <v>0</v>
      </c>
      <c r="R1" s="13">
        <v>0</v>
      </c>
      <c r="S1" s="26" t="s">
        <v>56</v>
      </c>
      <c r="T1" s="13">
        <v>0</v>
      </c>
      <c r="U1" s="28" t="s">
        <v>47</v>
      </c>
    </row>
    <row r="2" spans="1:21" x14ac:dyDescent="0.25">
      <c r="A2" s="19">
        <v>44679</v>
      </c>
      <c r="B2" s="13"/>
      <c r="C2" s="13" t="s">
        <v>2</v>
      </c>
      <c r="D2" s="13"/>
      <c r="E2" s="13"/>
      <c r="F2" s="13" t="s">
        <v>71</v>
      </c>
      <c r="G2" s="13" t="s">
        <v>73</v>
      </c>
      <c r="H2" s="13">
        <v>258</v>
      </c>
      <c r="I2" s="13">
        <v>70</v>
      </c>
      <c r="J2" s="13" t="s">
        <v>0</v>
      </c>
      <c r="K2" s="13">
        <v>0</v>
      </c>
      <c r="L2" s="13">
        <v>0</v>
      </c>
      <c r="M2" s="13">
        <v>0</v>
      </c>
      <c r="N2" s="13"/>
      <c r="O2" s="13"/>
      <c r="P2" s="13">
        <v>0</v>
      </c>
      <c r="Q2" s="13">
        <v>0</v>
      </c>
      <c r="R2" s="13">
        <v>0</v>
      </c>
      <c r="S2" s="26" t="s">
        <v>57</v>
      </c>
      <c r="T2" s="13">
        <v>0</v>
      </c>
      <c r="U2" s="28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J18" sqref="J18"/>
    </sheetView>
  </sheetViews>
  <sheetFormatPr baseColWidth="10" defaultRowHeight="15" x14ac:dyDescent="0.25"/>
  <sheetData>
    <row r="1" spans="1:21" x14ac:dyDescent="0.25">
      <c r="A1" s="27">
        <v>44680</v>
      </c>
      <c r="B1" s="13"/>
      <c r="C1" s="13" t="s">
        <v>2</v>
      </c>
      <c r="D1" s="13"/>
      <c r="E1" s="13"/>
      <c r="F1" s="13" t="s">
        <v>34</v>
      </c>
      <c r="G1" s="13" t="s">
        <v>28</v>
      </c>
      <c r="H1" s="13">
        <v>300</v>
      </c>
      <c r="I1" s="13">
        <v>99.5</v>
      </c>
      <c r="J1" s="13" t="s">
        <v>0</v>
      </c>
      <c r="K1" s="13">
        <v>0</v>
      </c>
      <c r="L1" s="13">
        <v>0</v>
      </c>
      <c r="M1" s="13">
        <v>0</v>
      </c>
      <c r="N1" s="13"/>
      <c r="O1" s="13"/>
      <c r="P1" s="13">
        <v>0</v>
      </c>
      <c r="Q1" s="13">
        <f t="shared" ref="Q1" si="0">H1*P1</f>
        <v>0</v>
      </c>
      <c r="R1" s="13">
        <v>0</v>
      </c>
      <c r="S1" s="26" t="s">
        <v>59</v>
      </c>
      <c r="T1" s="13">
        <v>0</v>
      </c>
      <c r="U1" s="28" t="s">
        <v>47</v>
      </c>
    </row>
    <row r="2" spans="1:21" x14ac:dyDescent="0.25">
      <c r="A2" s="27">
        <v>44680</v>
      </c>
      <c r="B2" s="13"/>
      <c r="C2" s="13" t="s">
        <v>2</v>
      </c>
      <c r="D2" s="13"/>
      <c r="E2" s="13"/>
      <c r="F2" s="13" t="s">
        <v>35</v>
      </c>
      <c r="G2" s="13" t="s">
        <v>28</v>
      </c>
      <c r="H2" s="13">
        <v>310</v>
      </c>
      <c r="I2" s="13">
        <v>96</v>
      </c>
      <c r="J2" s="13" t="s">
        <v>0</v>
      </c>
      <c r="K2" s="13">
        <v>0</v>
      </c>
      <c r="L2" s="13">
        <v>0</v>
      </c>
      <c r="M2" s="13">
        <v>0</v>
      </c>
      <c r="N2" s="13"/>
      <c r="O2" s="13"/>
      <c r="P2" s="13">
        <v>0</v>
      </c>
      <c r="Q2" s="13">
        <v>0</v>
      </c>
      <c r="R2" s="13">
        <v>0</v>
      </c>
      <c r="S2" s="26" t="s">
        <v>59</v>
      </c>
      <c r="T2" s="13">
        <v>0</v>
      </c>
      <c r="U2" s="28" t="s">
        <v>47</v>
      </c>
    </row>
    <row r="3" spans="1:21" x14ac:dyDescent="0.25">
      <c r="A3" s="27">
        <v>44680</v>
      </c>
      <c r="B3" s="13"/>
      <c r="C3" s="13" t="s">
        <v>2</v>
      </c>
      <c r="D3" s="13"/>
      <c r="E3" s="13"/>
      <c r="F3" s="13" t="s">
        <v>71</v>
      </c>
      <c r="G3" s="13" t="s">
        <v>28</v>
      </c>
      <c r="H3" s="13">
        <v>308</v>
      </c>
      <c r="I3" s="13">
        <v>70</v>
      </c>
      <c r="J3" s="13" t="s">
        <v>0</v>
      </c>
      <c r="K3" s="13">
        <v>0</v>
      </c>
      <c r="L3" s="13">
        <v>0</v>
      </c>
      <c r="M3" s="13">
        <v>0</v>
      </c>
      <c r="N3" s="13"/>
      <c r="O3" s="13"/>
      <c r="P3" s="13">
        <v>0</v>
      </c>
      <c r="Q3" s="13">
        <v>0</v>
      </c>
      <c r="R3" s="13">
        <v>0</v>
      </c>
      <c r="S3" s="26" t="s">
        <v>59</v>
      </c>
      <c r="T3" s="13">
        <v>0</v>
      </c>
      <c r="U3" s="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</vt:lpstr>
      <vt:lpstr>ANEXO A</vt:lpstr>
      <vt:lpstr>Ejm. SalXConciliacion</vt:lpstr>
      <vt:lpstr>Ejm. SalXProduccion</vt:lpstr>
      <vt:lpstr>Ejm. SalXVenta</vt:lpstr>
      <vt:lpstr>Ejm. SalXConsumoPropio</vt:lpstr>
      <vt:lpstr>Ejm. SalXEvaporacion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cp:lastPrinted>2021-09-28T12:58:39Z</cp:lastPrinted>
  <dcterms:created xsi:type="dcterms:W3CDTF">2016-04-19T13:46:13Z</dcterms:created>
  <dcterms:modified xsi:type="dcterms:W3CDTF">2023-02-24T14:43:49Z</dcterms:modified>
</cp:coreProperties>
</file>