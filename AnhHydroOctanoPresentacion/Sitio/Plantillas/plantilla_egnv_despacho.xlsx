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istemas_2016\AnhHydroOctanoVolumenes\OctanoVolumenes\AnhHydroOctanoVolumenes\AnhHydroOctanoPresentacion\Sitio\Plantillas\"/>
    </mc:Choice>
  </mc:AlternateContent>
  <bookViews>
    <workbookView xWindow="480" yWindow="120" windowWidth="18195" windowHeight="8445" activeTab="1"/>
  </bookViews>
  <sheets>
    <sheet name="Listado Tipos de Operaciones" sheetId="14" r:id="rId1"/>
    <sheet name="salXVenta" sheetId="15" r:id="rId2"/>
  </sheets>
  <calcPr calcId="152511"/>
</workbook>
</file>

<file path=xl/calcChain.xml><?xml version="1.0" encoding="utf-8"?>
<calcChain xmlns="http://schemas.openxmlformats.org/spreadsheetml/2006/main">
  <c r="Z6" i="15" l="1"/>
  <c r="R6" i="15"/>
  <c r="R5" i="15"/>
  <c r="R4" i="15"/>
  <c r="R3" i="15"/>
  <c r="AA8" i="14" l="1"/>
  <c r="S8" i="14"/>
  <c r="S7" i="14"/>
  <c r="S6" i="14"/>
  <c r="S5" i="14"/>
</calcChain>
</file>

<file path=xl/sharedStrings.xml><?xml version="1.0" encoding="utf-8"?>
<sst xmlns="http://schemas.openxmlformats.org/spreadsheetml/2006/main" count="188" uniqueCount="67">
  <si>
    <t>CANTIDAD</t>
  </si>
  <si>
    <t>PRECIO</t>
  </si>
  <si>
    <t>V</t>
  </si>
  <si>
    <t>PAIS</t>
  </si>
  <si>
    <t>BOLIVIA</t>
  </si>
  <si>
    <t>NIT</t>
  </si>
  <si>
    <t>RAZON SOCIAL</t>
  </si>
  <si>
    <t>PRODUCTO</t>
  </si>
  <si>
    <t>NOID</t>
  </si>
  <si>
    <t>C.I. USUARIO</t>
  </si>
  <si>
    <t>A</t>
  </si>
  <si>
    <t>IMPORTE</t>
  </si>
  <si>
    <t>ESTADO
V = VALIDO
A = ANULADO</t>
  </si>
  <si>
    <t>TIPO DE OPERACIÓN\COLUMNA CSV</t>
  </si>
  <si>
    <t>FECHA</t>
  </si>
  <si>
    <t>COPIA PLACA</t>
  </si>
  <si>
    <t>NO FACTURA</t>
  </si>
  <si>
    <t>NO AUTORIZACION</t>
  </si>
  <si>
    <t>SAL X VENTA</t>
  </si>
  <si>
    <t>TIPO INFRA RECEPTOR/DESPACHANTE NOID = NO IDENTIFICADO
TK = TANQUE
MN = MANGUERA</t>
  </si>
  <si>
    <t>INFRAESTRUCTURA RECEPTOR/DESPACHANTE</t>
  </si>
  <si>
    <t>TIPO PAGO
EF = EFECTIVO
PRE = PRE-PAGO
VAL = VALE</t>
  </si>
  <si>
    <t>EF</t>
  </si>
  <si>
    <t>NRO VALE</t>
  </si>
  <si>
    <t xml:space="preserve">NUMERO REFERENCIA </t>
  </si>
  <si>
    <t>01/10/2016 08:10:00</t>
  </si>
  <si>
    <t>01/10/2016 08:15:00</t>
  </si>
  <si>
    <t>01/10/2016 08:30:00</t>
  </si>
  <si>
    <t>01/10/2016 08:40:00</t>
  </si>
  <si>
    <t>MN</t>
  </si>
  <si>
    <t>458KOL</t>
  </si>
  <si>
    <t>ANDRADE</t>
  </si>
  <si>
    <t>11-AA-45-45</t>
  </si>
  <si>
    <t>543GTR</t>
  </si>
  <si>
    <t>PRE</t>
  </si>
  <si>
    <t>CONSTRUCTORA S.R.L.</t>
  </si>
  <si>
    <t>54-76-A1-78-98</t>
  </si>
  <si>
    <t>985HXX</t>
  </si>
  <si>
    <t>VAL</t>
  </si>
  <si>
    <t>AB84959</t>
  </si>
  <si>
    <t>BRASIL</t>
  </si>
  <si>
    <t>INTERNACIONAL S.A.</t>
  </si>
  <si>
    <t>34-56-12-A3</t>
  </si>
  <si>
    <t>AA-23-45-BC-D2</t>
  </si>
  <si>
    <t>CODIGO CONTROL</t>
  </si>
  <si>
    <t>DOCUMENTO - FACTURA</t>
  </si>
  <si>
    <t>DOCUMENTO - VALE</t>
  </si>
  <si>
    <t>DOCUMENTO - FACTURA EXTERNA</t>
  </si>
  <si>
    <t>NO AUTORIZACION DE VENTA</t>
  </si>
  <si>
    <t>DOC - AUTORIZACION VTA</t>
  </si>
  <si>
    <t>SC</t>
  </si>
  <si>
    <t>TIPO DE AUTORIZACION DE VENTA
SC = SUST.CONTROLADAS
CC = COM.CONJUNTO</t>
  </si>
  <si>
    <t>NO FACTURA EXTERNA</t>
  </si>
  <si>
    <t>NO AUTORIZACION EXTERNA</t>
  </si>
  <si>
    <t>CODIGO CONTROL EXTERNA</t>
  </si>
  <si>
    <t>PRECIO EXTERNA</t>
  </si>
  <si>
    <t>IMPORTE EXTERNA</t>
  </si>
  <si>
    <t>GNV</t>
  </si>
  <si>
    <t>MN-A5</t>
  </si>
  <si>
    <t>MN-A6</t>
  </si>
  <si>
    <t>IDENTIFICADOR        PLACA/ENVASE
BIDO = BIDON
BOTE = BOTELLA
OTRO = OTROS</t>
  </si>
  <si>
    <t>Texto</t>
  </si>
  <si>
    <t>Numerico</t>
  </si>
  <si>
    <t>DOC - PRINCIPAL</t>
  </si>
  <si>
    <t>TIPO SERVICIO ADICIONAL
NOID = NO IDENTIFICADO
SUIC = SERV. UNICO INTEGRAL DE CONSUM.
DS2243 = DECRETO SUPREMO 2243
SICEVE = SICEVE</t>
  </si>
  <si>
    <t>DOC - SERVICIO ADICIONAL</t>
  </si>
  <si>
    <t>SUIC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</si>
</sst>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0" xfId="0" applyFill="1" applyBorder="1"/>
    <xf numFmtId="1" fontId="0" fillId="0" borderId="1" xfId="0" applyNumberFormat="1" applyBorder="1"/>
    <xf numFmtId="49" fontId="1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0" xfId="0" applyFont="1"/>
    <xf numFmtId="49" fontId="3" fillId="5" borderId="2" xfId="0" applyNumberFormat="1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49" fontId="3" fillId="8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/>
    <xf numFmtId="1" fontId="3" fillId="3" borderId="0" xfId="0" applyNumberFormat="1" applyFont="1" applyFill="1" applyAlignment="1">
      <alignment horizontal="center"/>
    </xf>
    <xf numFmtId="0" fontId="2" fillId="9" borderId="5" xfId="0" applyFont="1" applyFill="1" applyBorder="1" applyAlignment="1">
      <alignment horizontal="center" vertical="center" wrapText="1"/>
    </xf>
    <xf numFmtId="49" fontId="1" fillId="9" borderId="5" xfId="0" applyNumberFormat="1" applyFont="1" applyFill="1" applyBorder="1" applyAlignment="1">
      <alignment horizontal="center" vertical="center" wrapText="1"/>
    </xf>
    <xf numFmtId="49" fontId="3" fillId="9" borderId="5" xfId="0" applyNumberFormat="1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49" fontId="1" fillId="10" borderId="5" xfId="0" applyNumberFormat="1" applyFont="1" applyFill="1" applyBorder="1" applyAlignment="1">
      <alignment horizontal="center" vertical="center" wrapText="1"/>
    </xf>
    <xf numFmtId="49" fontId="3" fillId="10" borderId="5" xfId="0" applyNumberFormat="1" applyFont="1" applyFill="1" applyBorder="1" applyAlignment="1">
      <alignment horizontal="center" vertical="center" wrapText="1"/>
    </xf>
    <xf numFmtId="1" fontId="3" fillId="10" borderId="5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workbookViewId="0"/>
  </sheetViews>
  <sheetFormatPr baseColWidth="10" defaultColWidth="17.140625" defaultRowHeight="15" x14ac:dyDescent="0.25"/>
  <cols>
    <col min="1" max="1" width="25.5703125" style="1" customWidth="1"/>
    <col min="2" max="2" width="19.140625" style="1" customWidth="1"/>
    <col min="3" max="3" width="24.42578125" style="1" customWidth="1"/>
    <col min="4" max="4" width="24.5703125" style="1" customWidth="1"/>
    <col min="5" max="27" width="17.140625" style="1"/>
    <col min="28" max="28" width="21.42578125" style="1" customWidth="1"/>
    <col min="29" max="29" width="42" style="1" customWidth="1"/>
    <col min="30" max="30" width="26.5703125" style="1" customWidth="1"/>
    <col min="31" max="31" width="18.5703125" style="1" customWidth="1"/>
    <col min="32" max="16384" width="17.140625" style="1"/>
  </cols>
  <sheetData>
    <row r="1" spans="1:31" s="8" customFormat="1" x14ac:dyDescent="0.25">
      <c r="A1" s="21"/>
      <c r="B1" s="22">
        <v>0</v>
      </c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P1" s="22">
        <v>14</v>
      </c>
      <c r="Q1" s="22">
        <v>15</v>
      </c>
      <c r="R1" s="22">
        <v>16</v>
      </c>
      <c r="S1" s="22">
        <v>17</v>
      </c>
      <c r="T1" s="22">
        <v>18</v>
      </c>
      <c r="U1" s="22">
        <v>19</v>
      </c>
      <c r="V1" s="22">
        <v>20</v>
      </c>
      <c r="W1" s="22">
        <v>21</v>
      </c>
      <c r="X1" s="22">
        <v>22</v>
      </c>
      <c r="Y1" s="22">
        <v>23</v>
      </c>
      <c r="Z1" s="22">
        <v>24</v>
      </c>
      <c r="AA1" s="22">
        <v>25</v>
      </c>
      <c r="AB1" s="22">
        <v>26</v>
      </c>
      <c r="AC1" s="22">
        <v>27</v>
      </c>
      <c r="AD1" s="22">
        <v>28</v>
      </c>
      <c r="AE1" s="22">
        <v>29</v>
      </c>
    </row>
    <row r="2" spans="1:31" ht="26.25" customHeight="1" x14ac:dyDescent="0.25">
      <c r="A2" s="23"/>
      <c r="B2" s="24" t="s">
        <v>61</v>
      </c>
      <c r="C2" s="24" t="s">
        <v>61</v>
      </c>
      <c r="D2" s="24" t="s">
        <v>61</v>
      </c>
      <c r="E2" s="24" t="s">
        <v>61</v>
      </c>
      <c r="F2" s="24" t="s">
        <v>61</v>
      </c>
      <c r="G2" s="24" t="s">
        <v>61</v>
      </c>
      <c r="H2" s="24" t="s">
        <v>61</v>
      </c>
      <c r="I2" s="25" t="s">
        <v>62</v>
      </c>
      <c r="J2" s="24" t="s">
        <v>61</v>
      </c>
      <c r="K2" s="24" t="s">
        <v>61</v>
      </c>
      <c r="L2" s="24" t="s">
        <v>61</v>
      </c>
      <c r="M2" s="25" t="s">
        <v>62</v>
      </c>
      <c r="N2" s="24" t="s">
        <v>61</v>
      </c>
      <c r="O2" s="25" t="s">
        <v>62</v>
      </c>
      <c r="P2" s="25" t="s">
        <v>62</v>
      </c>
      <c r="Q2" s="24" t="s">
        <v>61</v>
      </c>
      <c r="R2" s="25" t="s">
        <v>62</v>
      </c>
      <c r="S2" s="25" t="s">
        <v>62</v>
      </c>
      <c r="T2" s="24" t="s">
        <v>61</v>
      </c>
      <c r="U2" s="25" t="s">
        <v>62</v>
      </c>
      <c r="V2" s="25" t="s">
        <v>62</v>
      </c>
      <c r="W2" s="25" t="s">
        <v>62</v>
      </c>
      <c r="X2" s="25" t="s">
        <v>62</v>
      </c>
      <c r="Y2" s="24" t="s">
        <v>61</v>
      </c>
      <c r="Z2" s="25" t="s">
        <v>62</v>
      </c>
      <c r="AA2" s="25" t="s">
        <v>62</v>
      </c>
      <c r="AB2" s="24" t="s">
        <v>61</v>
      </c>
      <c r="AC2" s="24" t="s">
        <v>61</v>
      </c>
      <c r="AD2" s="24" t="s">
        <v>61</v>
      </c>
      <c r="AE2" s="25" t="s">
        <v>62</v>
      </c>
    </row>
    <row r="3" spans="1:31" ht="121.5" customHeight="1" x14ac:dyDescent="0.25">
      <c r="A3" s="26" t="s">
        <v>13</v>
      </c>
      <c r="B3" s="27" t="s">
        <v>14</v>
      </c>
      <c r="C3" s="28" t="s">
        <v>19</v>
      </c>
      <c r="D3" s="28" t="s">
        <v>20</v>
      </c>
      <c r="E3" s="28" t="s">
        <v>60</v>
      </c>
      <c r="F3" s="28" t="s">
        <v>15</v>
      </c>
      <c r="G3" s="28" t="s">
        <v>3</v>
      </c>
      <c r="H3" s="28" t="s">
        <v>7</v>
      </c>
      <c r="I3" s="28" t="s">
        <v>0</v>
      </c>
      <c r="J3" s="28" t="s">
        <v>12</v>
      </c>
      <c r="K3" s="28" t="s">
        <v>9</v>
      </c>
      <c r="L3" s="28" t="s">
        <v>21</v>
      </c>
      <c r="M3" s="28" t="s">
        <v>5</v>
      </c>
      <c r="N3" s="28" t="s">
        <v>6</v>
      </c>
      <c r="O3" s="28" t="s">
        <v>16</v>
      </c>
      <c r="P3" s="29" t="s">
        <v>17</v>
      </c>
      <c r="Q3" s="28" t="s">
        <v>44</v>
      </c>
      <c r="R3" s="28" t="s">
        <v>1</v>
      </c>
      <c r="S3" s="28" t="s">
        <v>11</v>
      </c>
      <c r="T3" s="28" t="s">
        <v>23</v>
      </c>
      <c r="U3" s="28" t="s">
        <v>1</v>
      </c>
      <c r="V3" s="28" t="s">
        <v>11</v>
      </c>
      <c r="W3" s="28" t="s">
        <v>52</v>
      </c>
      <c r="X3" s="28" t="s">
        <v>53</v>
      </c>
      <c r="Y3" s="28" t="s">
        <v>54</v>
      </c>
      <c r="Z3" s="28" t="s">
        <v>55</v>
      </c>
      <c r="AA3" s="28" t="s">
        <v>56</v>
      </c>
      <c r="AB3" s="28" t="s">
        <v>24</v>
      </c>
      <c r="AC3" s="28" t="s">
        <v>64</v>
      </c>
      <c r="AD3" s="28" t="s">
        <v>51</v>
      </c>
      <c r="AE3" s="28" t="s">
        <v>48</v>
      </c>
    </row>
    <row r="4" spans="1:31" s="4" customFormat="1" ht="18" customHeight="1" x14ac:dyDescent="0.25">
      <c r="A4" s="30"/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11" t="s">
        <v>45</v>
      </c>
      <c r="N4" s="12"/>
      <c r="O4" s="12"/>
      <c r="P4" s="12"/>
      <c r="Q4" s="12"/>
      <c r="R4" s="12"/>
      <c r="S4" s="13"/>
      <c r="T4" s="14" t="s">
        <v>46</v>
      </c>
      <c r="U4" s="15"/>
      <c r="V4" s="16"/>
      <c r="W4" s="17" t="s">
        <v>47</v>
      </c>
      <c r="X4" s="18"/>
      <c r="Y4" s="18"/>
      <c r="Z4" s="18"/>
      <c r="AA4" s="19"/>
      <c r="AB4" s="9" t="s">
        <v>63</v>
      </c>
      <c r="AC4" s="20" t="s">
        <v>65</v>
      </c>
      <c r="AD4" s="10" t="s">
        <v>49</v>
      </c>
      <c r="AE4" s="10"/>
    </row>
    <row r="5" spans="1:31" x14ac:dyDescent="0.25">
      <c r="A5" s="31" t="s">
        <v>18</v>
      </c>
      <c r="B5" s="3" t="s">
        <v>25</v>
      </c>
      <c r="C5" s="2" t="s">
        <v>29</v>
      </c>
      <c r="D5" s="2" t="s">
        <v>58</v>
      </c>
      <c r="E5" s="2" t="s">
        <v>30</v>
      </c>
      <c r="F5" s="2"/>
      <c r="G5" s="2" t="s">
        <v>4</v>
      </c>
      <c r="H5" s="2" t="s">
        <v>57</v>
      </c>
      <c r="I5" s="2">
        <v>78</v>
      </c>
      <c r="J5" s="2" t="s">
        <v>10</v>
      </c>
      <c r="K5" s="2">
        <v>9568574</v>
      </c>
      <c r="L5" s="2" t="s">
        <v>22</v>
      </c>
      <c r="M5" s="2">
        <v>78996548</v>
      </c>
      <c r="N5" s="2" t="s">
        <v>31</v>
      </c>
      <c r="O5" s="2">
        <v>2658</v>
      </c>
      <c r="P5" s="5">
        <v>200100123456</v>
      </c>
      <c r="Q5" s="2" t="s">
        <v>32</v>
      </c>
      <c r="R5" s="2">
        <v>1.66</v>
      </c>
      <c r="S5" s="2">
        <f>I5*R5</f>
        <v>129.47999999999999</v>
      </c>
      <c r="T5" s="2">
        <v>0</v>
      </c>
      <c r="U5" s="2"/>
      <c r="V5" s="2"/>
      <c r="W5" s="2">
        <v>0</v>
      </c>
      <c r="X5" s="2">
        <v>0</v>
      </c>
      <c r="Y5" s="2"/>
      <c r="Z5" s="2">
        <v>0</v>
      </c>
      <c r="AA5" s="2">
        <v>0</v>
      </c>
      <c r="AB5" s="2">
        <v>9576</v>
      </c>
      <c r="AC5" s="2" t="s">
        <v>66</v>
      </c>
      <c r="AD5" s="2"/>
      <c r="AE5" s="2">
        <v>0</v>
      </c>
    </row>
    <row r="6" spans="1:31" x14ac:dyDescent="0.25">
      <c r="A6" s="31"/>
      <c r="B6" s="3" t="s">
        <v>26</v>
      </c>
      <c r="C6" s="2" t="s">
        <v>29</v>
      </c>
      <c r="D6" s="2" t="s">
        <v>59</v>
      </c>
      <c r="E6" s="2" t="s">
        <v>33</v>
      </c>
      <c r="F6" s="2">
        <v>1</v>
      </c>
      <c r="G6" s="2" t="s">
        <v>4</v>
      </c>
      <c r="H6" s="2" t="s">
        <v>57</v>
      </c>
      <c r="I6" s="2">
        <v>2300</v>
      </c>
      <c r="J6" s="2" t="s">
        <v>2</v>
      </c>
      <c r="K6" s="2">
        <v>9568574</v>
      </c>
      <c r="L6" s="2" t="s">
        <v>34</v>
      </c>
      <c r="M6" s="2">
        <v>6532847</v>
      </c>
      <c r="N6" s="2" t="s">
        <v>35</v>
      </c>
      <c r="O6" s="2">
        <v>2659</v>
      </c>
      <c r="P6" s="5">
        <v>200100123456</v>
      </c>
      <c r="Q6" s="2" t="s">
        <v>36</v>
      </c>
      <c r="R6" s="2">
        <v>1.66</v>
      </c>
      <c r="S6" s="2">
        <f>I6*R6</f>
        <v>3818</v>
      </c>
      <c r="T6" s="2">
        <v>0</v>
      </c>
      <c r="U6" s="2"/>
      <c r="V6" s="2"/>
      <c r="W6" s="2">
        <v>0</v>
      </c>
      <c r="X6" s="2">
        <v>0</v>
      </c>
      <c r="Y6" s="2"/>
      <c r="Z6" s="2">
        <v>0</v>
      </c>
      <c r="AA6" s="2">
        <v>0</v>
      </c>
      <c r="AB6" s="2">
        <v>9678</v>
      </c>
      <c r="AC6" s="2" t="s">
        <v>8</v>
      </c>
      <c r="AD6" s="2" t="s">
        <v>50</v>
      </c>
      <c r="AE6" s="2">
        <v>984555</v>
      </c>
    </row>
    <row r="7" spans="1:31" x14ac:dyDescent="0.25">
      <c r="A7" s="31"/>
      <c r="B7" s="3" t="s">
        <v>27</v>
      </c>
      <c r="C7" s="2" t="s">
        <v>29</v>
      </c>
      <c r="D7" s="2" t="s">
        <v>58</v>
      </c>
      <c r="E7" s="2" t="s">
        <v>37</v>
      </c>
      <c r="F7" s="2"/>
      <c r="G7" s="2" t="s">
        <v>4</v>
      </c>
      <c r="H7" s="2" t="s">
        <v>57</v>
      </c>
      <c r="I7" s="2">
        <v>80</v>
      </c>
      <c r="J7" s="2" t="s">
        <v>2</v>
      </c>
      <c r="K7" s="2">
        <v>9568574</v>
      </c>
      <c r="L7" s="2" t="s">
        <v>38</v>
      </c>
      <c r="M7" s="2">
        <v>6532847</v>
      </c>
      <c r="N7" s="2" t="s">
        <v>35</v>
      </c>
      <c r="O7" s="2">
        <v>2659</v>
      </c>
      <c r="P7" s="5">
        <v>200100123456</v>
      </c>
      <c r="Q7" s="2"/>
      <c r="R7" s="2">
        <v>1.66</v>
      </c>
      <c r="S7" s="2">
        <f>I7*R7</f>
        <v>132.79999999999998</v>
      </c>
      <c r="T7" s="2">
        <v>9875</v>
      </c>
      <c r="U7" s="2">
        <v>3.74</v>
      </c>
      <c r="V7" s="2">
        <v>132.80000000000001</v>
      </c>
      <c r="W7" s="2">
        <v>0</v>
      </c>
      <c r="X7" s="2">
        <v>0</v>
      </c>
      <c r="Y7" s="2"/>
      <c r="Z7" s="2">
        <v>0</v>
      </c>
      <c r="AA7" s="2">
        <v>0</v>
      </c>
      <c r="AB7" s="2">
        <v>9680</v>
      </c>
      <c r="AC7" s="2" t="s">
        <v>8</v>
      </c>
      <c r="AD7" s="2"/>
      <c r="AE7" s="2">
        <v>0</v>
      </c>
    </row>
    <row r="8" spans="1:31" x14ac:dyDescent="0.25">
      <c r="A8" s="31"/>
      <c r="B8" s="3" t="s">
        <v>28</v>
      </c>
      <c r="C8" s="2" t="s">
        <v>29</v>
      </c>
      <c r="D8" s="2" t="s">
        <v>58</v>
      </c>
      <c r="E8" s="2" t="s">
        <v>39</v>
      </c>
      <c r="F8" s="2"/>
      <c r="G8" s="2" t="s">
        <v>40</v>
      </c>
      <c r="H8" s="2" t="s">
        <v>57</v>
      </c>
      <c r="I8" s="2">
        <v>200</v>
      </c>
      <c r="J8" s="2" t="s">
        <v>2</v>
      </c>
      <c r="K8" s="2">
        <v>9568574</v>
      </c>
      <c r="L8" s="2" t="s">
        <v>22</v>
      </c>
      <c r="M8" s="2">
        <v>45468986</v>
      </c>
      <c r="N8" s="2" t="s">
        <v>41</v>
      </c>
      <c r="O8" s="2">
        <v>2660</v>
      </c>
      <c r="P8" s="5">
        <v>200100123456</v>
      </c>
      <c r="Q8" s="2" t="s">
        <v>42</v>
      </c>
      <c r="R8" s="2">
        <v>1.66</v>
      </c>
      <c r="S8" s="2">
        <f>I8*R8</f>
        <v>332</v>
      </c>
      <c r="T8" s="2">
        <v>0</v>
      </c>
      <c r="U8" s="2"/>
      <c r="V8" s="2"/>
      <c r="W8" s="2">
        <v>67</v>
      </c>
      <c r="X8" s="2">
        <v>9001025455</v>
      </c>
      <c r="Y8" s="2" t="s">
        <v>43</v>
      </c>
      <c r="Z8" s="2">
        <v>4.1500000000000004</v>
      </c>
      <c r="AA8" s="2">
        <f>Z8*I8</f>
        <v>830.00000000000011</v>
      </c>
      <c r="AB8" s="2">
        <v>9690</v>
      </c>
      <c r="AC8" s="2" t="s">
        <v>8</v>
      </c>
      <c r="AD8" s="2"/>
      <c r="AE8" s="2">
        <v>0</v>
      </c>
    </row>
  </sheetData>
  <mergeCells count="5">
    <mergeCell ref="A5:A8"/>
    <mergeCell ref="M4:S4"/>
    <mergeCell ref="W4:AA4"/>
    <mergeCell ref="AD4:AE4"/>
    <mergeCell ref="T4:V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tabSelected="1" workbookViewId="0"/>
  </sheetViews>
  <sheetFormatPr baseColWidth="10" defaultColWidth="17.140625" defaultRowHeight="15" x14ac:dyDescent="0.25"/>
  <cols>
    <col min="1" max="1" width="19.140625" style="1" customWidth="1"/>
    <col min="2" max="2" width="24.42578125" style="1" customWidth="1"/>
    <col min="3" max="3" width="24.5703125" style="1" customWidth="1"/>
    <col min="4" max="26" width="17.140625" style="1"/>
    <col min="27" max="27" width="21.42578125" style="1" customWidth="1"/>
    <col min="28" max="28" width="42" style="1" customWidth="1"/>
    <col min="29" max="29" width="26.5703125" style="1" customWidth="1"/>
    <col min="30" max="30" width="18.5703125" style="1" customWidth="1"/>
    <col min="31" max="16384" width="17.140625" style="1"/>
  </cols>
  <sheetData>
    <row r="1" spans="1:30" s="8" customFormat="1" x14ac:dyDescent="0.25">
      <c r="A1" s="22">
        <v>0</v>
      </c>
      <c r="B1" s="22">
        <v>1</v>
      </c>
      <c r="C1" s="22">
        <v>2</v>
      </c>
      <c r="D1" s="22">
        <v>3</v>
      </c>
      <c r="E1" s="22">
        <v>4</v>
      </c>
      <c r="F1" s="22">
        <v>5</v>
      </c>
      <c r="G1" s="22">
        <v>6</v>
      </c>
      <c r="H1" s="22">
        <v>7</v>
      </c>
      <c r="I1" s="22">
        <v>8</v>
      </c>
      <c r="J1" s="22">
        <v>9</v>
      </c>
      <c r="K1" s="22">
        <v>10</v>
      </c>
      <c r="L1" s="22">
        <v>11</v>
      </c>
      <c r="M1" s="22">
        <v>12</v>
      </c>
      <c r="N1" s="22">
        <v>13</v>
      </c>
      <c r="O1" s="22">
        <v>14</v>
      </c>
      <c r="P1" s="22">
        <v>15</v>
      </c>
      <c r="Q1" s="22">
        <v>16</v>
      </c>
      <c r="R1" s="22">
        <v>17</v>
      </c>
      <c r="S1" s="22">
        <v>18</v>
      </c>
      <c r="T1" s="22">
        <v>19</v>
      </c>
      <c r="U1" s="22">
        <v>20</v>
      </c>
      <c r="V1" s="22">
        <v>21</v>
      </c>
      <c r="W1" s="22">
        <v>22</v>
      </c>
      <c r="X1" s="22">
        <v>23</v>
      </c>
      <c r="Y1" s="22">
        <v>24</v>
      </c>
      <c r="Z1" s="22">
        <v>25</v>
      </c>
      <c r="AA1" s="22">
        <v>26</v>
      </c>
      <c r="AB1" s="22">
        <v>27</v>
      </c>
      <c r="AC1" s="22">
        <v>28</v>
      </c>
      <c r="AD1" s="22">
        <v>29</v>
      </c>
    </row>
    <row r="2" spans="1:30" ht="121.5" customHeight="1" x14ac:dyDescent="0.25">
      <c r="A2" s="27" t="s">
        <v>14</v>
      </c>
      <c r="B2" s="28" t="s">
        <v>19</v>
      </c>
      <c r="C2" s="28" t="s">
        <v>20</v>
      </c>
      <c r="D2" s="28" t="s">
        <v>60</v>
      </c>
      <c r="E2" s="28" t="s">
        <v>15</v>
      </c>
      <c r="F2" s="28" t="s">
        <v>3</v>
      </c>
      <c r="G2" s="28" t="s">
        <v>7</v>
      </c>
      <c r="H2" s="28" t="s">
        <v>0</v>
      </c>
      <c r="I2" s="28" t="s">
        <v>12</v>
      </c>
      <c r="J2" s="28" t="s">
        <v>9</v>
      </c>
      <c r="K2" s="28" t="s">
        <v>21</v>
      </c>
      <c r="L2" s="28" t="s">
        <v>5</v>
      </c>
      <c r="M2" s="28" t="s">
        <v>6</v>
      </c>
      <c r="N2" s="28" t="s">
        <v>16</v>
      </c>
      <c r="O2" s="29" t="s">
        <v>17</v>
      </c>
      <c r="P2" s="28" t="s">
        <v>44</v>
      </c>
      <c r="Q2" s="28" t="s">
        <v>1</v>
      </c>
      <c r="R2" s="28" t="s">
        <v>11</v>
      </c>
      <c r="S2" s="28" t="s">
        <v>23</v>
      </c>
      <c r="T2" s="28" t="s">
        <v>1</v>
      </c>
      <c r="U2" s="28" t="s">
        <v>11</v>
      </c>
      <c r="V2" s="28" t="s">
        <v>52</v>
      </c>
      <c r="W2" s="28" t="s">
        <v>53</v>
      </c>
      <c r="X2" s="28" t="s">
        <v>54</v>
      </c>
      <c r="Y2" s="28" t="s">
        <v>55</v>
      </c>
      <c r="Z2" s="28" t="s">
        <v>56</v>
      </c>
      <c r="AA2" s="28" t="s">
        <v>24</v>
      </c>
      <c r="AB2" s="28" t="s">
        <v>64</v>
      </c>
      <c r="AC2" s="28" t="s">
        <v>51</v>
      </c>
      <c r="AD2" s="28" t="s">
        <v>48</v>
      </c>
    </row>
    <row r="3" spans="1:30" x14ac:dyDescent="0.25">
      <c r="A3" s="3" t="s">
        <v>25</v>
      </c>
      <c r="B3" s="2" t="s">
        <v>29</v>
      </c>
      <c r="C3" s="2" t="s">
        <v>58</v>
      </c>
      <c r="D3" s="2" t="s">
        <v>30</v>
      </c>
      <c r="E3" s="2"/>
      <c r="F3" s="2" t="s">
        <v>4</v>
      </c>
      <c r="G3" s="2" t="s">
        <v>57</v>
      </c>
      <c r="H3" s="2">
        <v>78</v>
      </c>
      <c r="I3" s="2" t="s">
        <v>10</v>
      </c>
      <c r="J3" s="2">
        <v>9568574</v>
      </c>
      <c r="K3" s="2" t="s">
        <v>22</v>
      </c>
      <c r="L3" s="2">
        <v>78996548</v>
      </c>
      <c r="M3" s="2" t="s">
        <v>31</v>
      </c>
      <c r="N3" s="2">
        <v>2658</v>
      </c>
      <c r="O3" s="5">
        <v>200100123456</v>
      </c>
      <c r="P3" s="2" t="s">
        <v>32</v>
      </c>
      <c r="Q3" s="2">
        <v>1.66</v>
      </c>
      <c r="R3" s="2">
        <f>H3*Q3</f>
        <v>129.47999999999999</v>
      </c>
      <c r="S3" s="2">
        <v>0</v>
      </c>
      <c r="T3" s="2"/>
      <c r="U3" s="2"/>
      <c r="V3" s="2">
        <v>0</v>
      </c>
      <c r="W3" s="2">
        <v>0</v>
      </c>
      <c r="X3" s="2"/>
      <c r="Y3" s="2">
        <v>0</v>
      </c>
      <c r="Z3" s="2">
        <v>0</v>
      </c>
      <c r="AA3" s="2">
        <v>9576</v>
      </c>
      <c r="AB3" s="2" t="s">
        <v>66</v>
      </c>
      <c r="AC3" s="2"/>
      <c r="AD3" s="2">
        <v>0</v>
      </c>
    </row>
    <row r="4" spans="1:30" x14ac:dyDescent="0.25">
      <c r="A4" s="3" t="s">
        <v>26</v>
      </c>
      <c r="B4" s="2" t="s">
        <v>29</v>
      </c>
      <c r="C4" s="2" t="s">
        <v>59</v>
      </c>
      <c r="D4" s="2" t="s">
        <v>33</v>
      </c>
      <c r="E4" s="2">
        <v>1</v>
      </c>
      <c r="F4" s="2" t="s">
        <v>4</v>
      </c>
      <c r="G4" s="2" t="s">
        <v>57</v>
      </c>
      <c r="H4" s="2">
        <v>2300</v>
      </c>
      <c r="I4" s="2" t="s">
        <v>2</v>
      </c>
      <c r="J4" s="2">
        <v>9568574</v>
      </c>
      <c r="K4" s="2" t="s">
        <v>34</v>
      </c>
      <c r="L4" s="2">
        <v>6532847</v>
      </c>
      <c r="M4" s="2" t="s">
        <v>35</v>
      </c>
      <c r="N4" s="2">
        <v>2659</v>
      </c>
      <c r="O4" s="5">
        <v>200100123456</v>
      </c>
      <c r="P4" s="2" t="s">
        <v>36</v>
      </c>
      <c r="Q4" s="2">
        <v>1.66</v>
      </c>
      <c r="R4" s="2">
        <f>H4*Q4</f>
        <v>3818</v>
      </c>
      <c r="S4" s="2">
        <v>0</v>
      </c>
      <c r="T4" s="2"/>
      <c r="U4" s="2"/>
      <c r="V4" s="2">
        <v>0</v>
      </c>
      <c r="W4" s="2">
        <v>0</v>
      </c>
      <c r="X4" s="2"/>
      <c r="Y4" s="2">
        <v>0</v>
      </c>
      <c r="Z4" s="2">
        <v>0</v>
      </c>
      <c r="AA4" s="2">
        <v>9678</v>
      </c>
      <c r="AB4" s="2" t="s">
        <v>8</v>
      </c>
      <c r="AC4" s="2" t="s">
        <v>50</v>
      </c>
      <c r="AD4" s="2">
        <v>984555</v>
      </c>
    </row>
    <row r="5" spans="1:30" x14ac:dyDescent="0.25">
      <c r="A5" s="3" t="s">
        <v>27</v>
      </c>
      <c r="B5" s="2" t="s">
        <v>29</v>
      </c>
      <c r="C5" s="2" t="s">
        <v>58</v>
      </c>
      <c r="D5" s="2" t="s">
        <v>37</v>
      </c>
      <c r="E5" s="2"/>
      <c r="F5" s="2" t="s">
        <v>4</v>
      </c>
      <c r="G5" s="2" t="s">
        <v>57</v>
      </c>
      <c r="H5" s="2">
        <v>80</v>
      </c>
      <c r="I5" s="2" t="s">
        <v>2</v>
      </c>
      <c r="J5" s="2">
        <v>9568574</v>
      </c>
      <c r="K5" s="2" t="s">
        <v>38</v>
      </c>
      <c r="L5" s="2">
        <v>6532847</v>
      </c>
      <c r="M5" s="2" t="s">
        <v>35</v>
      </c>
      <c r="N5" s="2">
        <v>2659</v>
      </c>
      <c r="O5" s="5">
        <v>200100123456</v>
      </c>
      <c r="P5" s="2"/>
      <c r="Q5" s="2">
        <v>1.66</v>
      </c>
      <c r="R5" s="2">
        <f>H5*Q5</f>
        <v>132.79999999999998</v>
      </c>
      <c r="S5" s="2">
        <v>9875</v>
      </c>
      <c r="T5" s="2">
        <v>3.74</v>
      </c>
      <c r="U5" s="2">
        <v>132.80000000000001</v>
      </c>
      <c r="V5" s="2">
        <v>0</v>
      </c>
      <c r="W5" s="2">
        <v>0</v>
      </c>
      <c r="X5" s="2"/>
      <c r="Y5" s="2">
        <v>0</v>
      </c>
      <c r="Z5" s="2">
        <v>0</v>
      </c>
      <c r="AA5" s="2">
        <v>9680</v>
      </c>
      <c r="AB5" s="2" t="s">
        <v>8</v>
      </c>
      <c r="AC5" s="2"/>
      <c r="AD5" s="2">
        <v>0</v>
      </c>
    </row>
    <row r="6" spans="1:30" x14ac:dyDescent="0.25">
      <c r="A6" s="3" t="s">
        <v>28</v>
      </c>
      <c r="B6" s="2" t="s">
        <v>29</v>
      </c>
      <c r="C6" s="2" t="s">
        <v>58</v>
      </c>
      <c r="D6" s="2" t="s">
        <v>39</v>
      </c>
      <c r="E6" s="2"/>
      <c r="F6" s="2" t="s">
        <v>40</v>
      </c>
      <c r="G6" s="2" t="s">
        <v>57</v>
      </c>
      <c r="H6" s="2">
        <v>200</v>
      </c>
      <c r="I6" s="2" t="s">
        <v>2</v>
      </c>
      <c r="J6" s="2">
        <v>9568574</v>
      </c>
      <c r="K6" s="2" t="s">
        <v>22</v>
      </c>
      <c r="L6" s="2">
        <v>45468986</v>
      </c>
      <c r="M6" s="2" t="s">
        <v>41</v>
      </c>
      <c r="N6" s="2">
        <v>2660</v>
      </c>
      <c r="O6" s="5">
        <v>200100123456</v>
      </c>
      <c r="P6" s="2" t="s">
        <v>42</v>
      </c>
      <c r="Q6" s="2">
        <v>1.66</v>
      </c>
      <c r="R6" s="2">
        <f>H6*Q6</f>
        <v>332</v>
      </c>
      <c r="S6" s="2">
        <v>0</v>
      </c>
      <c r="T6" s="2"/>
      <c r="U6" s="2"/>
      <c r="V6" s="2">
        <v>67</v>
      </c>
      <c r="W6" s="2">
        <v>9001025455</v>
      </c>
      <c r="X6" s="2" t="s">
        <v>43</v>
      </c>
      <c r="Y6" s="2">
        <v>4.1500000000000004</v>
      </c>
      <c r="Z6" s="2">
        <f>Y6*H6</f>
        <v>830.00000000000011</v>
      </c>
      <c r="AA6" s="2">
        <v>9690</v>
      </c>
      <c r="AB6" s="2" t="s">
        <v>8</v>
      </c>
      <c r="AC6" s="2"/>
      <c r="AD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Listado Tipos de Operaciones</vt:lpstr>
      <vt:lpstr>salXVenta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Nacional de Hidrocarburos</dc:creator>
  <cp:lastModifiedBy>DTIC - Carla Carmen Herrera Perez</cp:lastModifiedBy>
  <cp:lastPrinted>2016-11-23T22:04:17Z</cp:lastPrinted>
  <dcterms:created xsi:type="dcterms:W3CDTF">2016-04-19T13:46:13Z</dcterms:created>
  <dcterms:modified xsi:type="dcterms:W3CDTF">2017-01-09T20:07:19Z</dcterms:modified>
</cp:coreProperties>
</file>