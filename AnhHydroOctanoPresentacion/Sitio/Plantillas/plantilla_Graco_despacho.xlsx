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fernandez\Desktop\csv_Graco\"/>
    </mc:Choice>
  </mc:AlternateContent>
  <xr:revisionPtr revIDLastSave="0" documentId="13_ncr:1_{BD79E9A2-A5D2-469A-97FA-0E0967F13A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talle de Despachos" sheetId="15" r:id="rId1"/>
    <sheet name="Ejm. SalidaXConsumoPropio" sheetId="16" r:id="rId2"/>
    <sheet name="Ejm. SalidaXMerma" sheetId="17" r:id="rId3"/>
  </sheets>
  <calcPr calcId="191029"/>
</workbook>
</file>

<file path=xl/calcChain.xml><?xml version="1.0" encoding="utf-8"?>
<calcChain xmlns="http://schemas.openxmlformats.org/spreadsheetml/2006/main">
  <c r="S1" i="17" l="1"/>
  <c r="S6" i="16"/>
  <c r="S5" i="16"/>
  <c r="S4" i="16"/>
  <c r="S3" i="16"/>
  <c r="S2" i="16"/>
  <c r="S1" i="16"/>
  <c r="T7" i="15" l="1"/>
  <c r="T8" i="15"/>
  <c r="T9" i="15"/>
  <c r="T10" i="15"/>
  <c r="T11" i="15"/>
  <c r="AC6" i="16" l="1"/>
  <c r="T6" i="15" l="1"/>
  <c r="T5" i="15"/>
</calcChain>
</file>

<file path=xl/sharedStrings.xml><?xml version="1.0" encoding="utf-8"?>
<sst xmlns="http://schemas.openxmlformats.org/spreadsheetml/2006/main" count="184" uniqueCount="60">
  <si>
    <t>CANTIDAD</t>
  </si>
  <si>
    <t>PRECIO</t>
  </si>
  <si>
    <t>V</t>
  </si>
  <si>
    <t>PAIS</t>
  </si>
  <si>
    <t>BOLIVIA</t>
  </si>
  <si>
    <t>NIT</t>
  </si>
  <si>
    <t>RAZON SOCIAL</t>
  </si>
  <si>
    <t>PRODUCTO</t>
  </si>
  <si>
    <t>NOID</t>
  </si>
  <si>
    <t>C.I. USUARIO</t>
  </si>
  <si>
    <t>IMPORTE</t>
  </si>
  <si>
    <t>TK</t>
  </si>
  <si>
    <t>ESTADO
V = VALIDO
A = ANULADO</t>
  </si>
  <si>
    <t>TIPO DE OPERACIÓN\COLUMNA CSV</t>
  </si>
  <si>
    <t>FECHA</t>
  </si>
  <si>
    <t>COPIA PLACA</t>
  </si>
  <si>
    <t>NO FACTURA</t>
  </si>
  <si>
    <t>TIPO INFRA RECEPTOR/DESPACHANTE NOID = NO IDENTIFICADO
TK = TANQUE
MN = MANGUERA</t>
  </si>
  <si>
    <t>GE</t>
  </si>
  <si>
    <t>EF</t>
  </si>
  <si>
    <t>DO</t>
  </si>
  <si>
    <t xml:space="preserve">NUMERO REFERENCIA </t>
  </si>
  <si>
    <t>MN</t>
  </si>
  <si>
    <t>458KOL</t>
  </si>
  <si>
    <t>543GTR</t>
  </si>
  <si>
    <t>985HXX</t>
  </si>
  <si>
    <t>AB84959</t>
  </si>
  <si>
    <t>AA-23-45-BC-D2</t>
  </si>
  <si>
    <t>CODIGO CONTROL</t>
  </si>
  <si>
    <t>DOCUMENTO - FACTURA</t>
  </si>
  <si>
    <t>SC</t>
  </si>
  <si>
    <t>IDENTIFICADOR        PLACA/ENVASE
BIDO = BIDON
BOTE = BOTELLA
OTRO = OTROS</t>
  </si>
  <si>
    <t>BIDO</t>
  </si>
  <si>
    <t>DOC - PRINCIPAL</t>
  </si>
  <si>
    <t>SUIC</t>
  </si>
  <si>
    <t>INFRAESTRUCTURA RECEPTOR/DESPACHANTE 
NOID = NO IDENTIFICADO</t>
  </si>
  <si>
    <t>423GTR</t>
  </si>
  <si>
    <t>Texto</t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</si>
  <si>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Separador decimal "." (Punto)</t>
    </r>
  </si>
  <si>
    <t>9568574 LP</t>
  </si>
  <si>
    <r>
      <t xml:space="preserve">Texto                         </t>
    </r>
    <r>
      <rPr>
        <b/>
        <sz val="9"/>
        <color theme="1"/>
        <rFont val="Calibri"/>
        <family val="2"/>
      </rPr>
      <t>Vacio si no aplica</t>
    </r>
  </si>
  <si>
    <r>
      <t xml:space="preserve">Numerico                   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</si>
  <si>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Numerico                                 </t>
    </r>
    <r>
      <rPr>
        <b/>
        <sz val="9"/>
        <color theme="1"/>
        <rFont val="Calibri"/>
        <family val="2"/>
        <scheme val="minor"/>
      </rPr>
      <t>0 si no aplica                            Separador decimal "." (Punto)</t>
    </r>
  </si>
  <si>
    <t>CODIGO DE BARRAS</t>
  </si>
  <si>
    <r>
      <t xml:space="preserve">Numerico
</t>
    </r>
    <r>
      <rPr>
        <b/>
        <sz val="9"/>
        <color theme="1"/>
        <rFont val="Calibri"/>
        <family val="2"/>
        <scheme val="minor"/>
      </rPr>
      <t>0 si no aplica</t>
    </r>
    <r>
      <rPr>
        <b/>
        <sz val="11"/>
        <color theme="1"/>
        <rFont val="Calibri"/>
        <family val="2"/>
        <scheme val="minor"/>
      </rPr>
      <t xml:space="preserve"> </t>
    </r>
  </si>
  <si>
    <t>SALIDA X CONSUMO PROPIO</t>
  </si>
  <si>
    <t>(NRO/COD) AUTORIZACION</t>
  </si>
  <si>
    <t>FORMA PAGO
EF = EFECTIVO
VAL = VALE</t>
  </si>
  <si>
    <t>21/07/2026 08:10:00</t>
  </si>
  <si>
    <t>21/07/2026 08:10:01</t>
  </si>
  <si>
    <t>21/07/2026 08:10:02</t>
  </si>
  <si>
    <t>SALIDA X MERMA</t>
  </si>
  <si>
    <t>22/07/2026</t>
  </si>
  <si>
    <t>B-I-210726</t>
  </si>
  <si>
    <t>22/07/2026 08:10:03</t>
  </si>
  <si>
    <t>23/07/2026 08:10:04</t>
  </si>
  <si>
    <t>24/07/2026 08:10:05</t>
  </si>
  <si>
    <t>B-I-220726</t>
  </si>
  <si>
    <t>B-I-230726</t>
  </si>
  <si>
    <t>B-I-240726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</si>
</sst>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0" fontId="0" fillId="3" borderId="1" xfId="0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Border="1"/>
    <xf numFmtId="0" fontId="0" fillId="0" borderId="0" xfId="0" applyAlignment="1">
      <alignment wrapText="1"/>
    </xf>
    <xf numFmtId="0" fontId="0" fillId="3" borderId="1" xfId="0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C10" sqref="C10"/>
    </sheetView>
  </sheetViews>
  <sheetFormatPr baseColWidth="10" defaultColWidth="17.140625" defaultRowHeight="15" x14ac:dyDescent="0.25"/>
  <cols>
    <col min="1" max="1" width="34.140625" style="1" customWidth="1"/>
    <col min="2" max="2" width="19.140625" style="1" customWidth="1"/>
    <col min="3" max="3" width="24.42578125" style="1" customWidth="1"/>
    <col min="4" max="4" width="24.5703125" style="1" customWidth="1"/>
    <col min="5" max="5" width="17.140625" style="1"/>
    <col min="6" max="7" width="19.7109375" style="1" customWidth="1"/>
    <col min="8" max="9" width="17.140625" style="1"/>
    <col min="10" max="10" width="23" style="1" customWidth="1"/>
    <col min="11" max="14" width="17.140625" style="1"/>
    <col min="15" max="15" width="19.42578125" style="1" customWidth="1"/>
    <col min="16" max="17" width="17.140625" style="1"/>
    <col min="18" max="18" width="18.28515625" style="1" customWidth="1"/>
    <col min="19" max="19" width="23.5703125" style="1" customWidth="1"/>
    <col min="20" max="20" width="22.28515625" style="1" customWidth="1"/>
    <col min="21" max="21" width="19.85546875" style="1" customWidth="1"/>
    <col min="22" max="16384" width="17.140625" style="1"/>
  </cols>
  <sheetData>
    <row r="1" spans="1:21" s="15" customFormat="1" x14ac:dyDescent="0.25">
      <c r="B1" s="16">
        <v>0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</row>
    <row r="2" spans="1:21" ht="121.5" customHeight="1" x14ac:dyDescent="0.25">
      <c r="A2" s="10" t="s">
        <v>13</v>
      </c>
      <c r="B2" s="11" t="s">
        <v>14</v>
      </c>
      <c r="C2" s="12" t="s">
        <v>17</v>
      </c>
      <c r="D2" s="12" t="s">
        <v>35</v>
      </c>
      <c r="E2" s="12" t="s">
        <v>31</v>
      </c>
      <c r="F2" s="12" t="s">
        <v>15</v>
      </c>
      <c r="G2" s="12" t="s">
        <v>43</v>
      </c>
      <c r="H2" s="12" t="s">
        <v>3</v>
      </c>
      <c r="I2" s="12" t="s">
        <v>7</v>
      </c>
      <c r="J2" s="12" t="s">
        <v>0</v>
      </c>
      <c r="K2" s="12" t="s">
        <v>12</v>
      </c>
      <c r="L2" s="12" t="s">
        <v>9</v>
      </c>
      <c r="M2" s="12" t="s">
        <v>47</v>
      </c>
      <c r="N2" s="12" t="s">
        <v>5</v>
      </c>
      <c r="O2" s="12" t="s">
        <v>6</v>
      </c>
      <c r="P2" s="12" t="s">
        <v>16</v>
      </c>
      <c r="Q2" s="13" t="s">
        <v>46</v>
      </c>
      <c r="R2" s="12" t="s">
        <v>28</v>
      </c>
      <c r="S2" s="12" t="s">
        <v>1</v>
      </c>
      <c r="T2" s="12" t="s">
        <v>10</v>
      </c>
      <c r="U2" s="12" t="s">
        <v>21</v>
      </c>
    </row>
    <row r="3" spans="1:21" s="18" customFormat="1" ht="36.75" customHeight="1" x14ac:dyDescent="0.25">
      <c r="A3" s="10"/>
      <c r="B3" s="11" t="s">
        <v>37</v>
      </c>
      <c r="C3" s="11" t="s">
        <v>37</v>
      </c>
      <c r="D3" s="11" t="s">
        <v>37</v>
      </c>
      <c r="E3" s="11" t="s">
        <v>40</v>
      </c>
      <c r="F3" s="11" t="s">
        <v>40</v>
      </c>
      <c r="G3" s="12" t="s">
        <v>44</v>
      </c>
      <c r="H3" s="11" t="s">
        <v>37</v>
      </c>
      <c r="I3" s="11" t="s">
        <v>37</v>
      </c>
      <c r="J3" s="12" t="s">
        <v>38</v>
      </c>
      <c r="K3" s="11" t="s">
        <v>37</v>
      </c>
      <c r="L3" s="11" t="s">
        <v>37</v>
      </c>
      <c r="M3" s="11" t="s">
        <v>37</v>
      </c>
      <c r="N3" s="12" t="s">
        <v>41</v>
      </c>
      <c r="O3" s="11" t="s">
        <v>40</v>
      </c>
      <c r="P3" s="12" t="s">
        <v>41</v>
      </c>
      <c r="Q3" s="12" t="s">
        <v>41</v>
      </c>
      <c r="R3" s="11" t="s">
        <v>40</v>
      </c>
      <c r="S3" s="12" t="s">
        <v>42</v>
      </c>
      <c r="T3" s="12" t="s">
        <v>42</v>
      </c>
      <c r="U3" s="11" t="s">
        <v>37</v>
      </c>
    </row>
    <row r="4" spans="1:21" s="4" customFormat="1" ht="18" customHeight="1" x14ac:dyDescent="0.25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20" t="s">
        <v>29</v>
      </c>
      <c r="O4" s="21"/>
      <c r="P4" s="21"/>
      <c r="Q4" s="21"/>
      <c r="R4" s="21"/>
      <c r="S4" s="21"/>
      <c r="T4" s="22"/>
      <c r="U4" s="14" t="s">
        <v>33</v>
      </c>
    </row>
    <row r="5" spans="1:21" x14ac:dyDescent="0.25">
      <c r="A5" s="19" t="s">
        <v>45</v>
      </c>
      <c r="B5" s="3" t="s">
        <v>48</v>
      </c>
      <c r="C5" s="2" t="s">
        <v>22</v>
      </c>
      <c r="D5" s="2" t="s">
        <v>8</v>
      </c>
      <c r="E5" s="2" t="s">
        <v>23</v>
      </c>
      <c r="F5" s="2"/>
      <c r="G5" s="2">
        <v>6800045896</v>
      </c>
      <c r="H5" s="2" t="s">
        <v>4</v>
      </c>
      <c r="I5" s="2" t="s">
        <v>18</v>
      </c>
      <c r="J5" s="2">
        <v>78</v>
      </c>
      <c r="K5" s="2" t="s">
        <v>2</v>
      </c>
      <c r="L5" s="2" t="s">
        <v>39</v>
      </c>
      <c r="M5" s="23" t="s">
        <v>19</v>
      </c>
      <c r="N5" s="2">
        <v>0</v>
      </c>
      <c r="O5" s="2"/>
      <c r="P5" s="2">
        <v>0</v>
      </c>
      <c r="Q5" s="5">
        <v>0</v>
      </c>
      <c r="R5" s="2"/>
      <c r="S5" s="2">
        <v>0</v>
      </c>
      <c r="T5" s="2">
        <f>J5*S5</f>
        <v>0</v>
      </c>
      <c r="U5" s="2">
        <v>9576</v>
      </c>
    </row>
    <row r="6" spans="1:21" x14ac:dyDescent="0.25">
      <c r="A6" s="19"/>
      <c r="B6" s="3" t="s">
        <v>49</v>
      </c>
      <c r="C6" s="2" t="s">
        <v>11</v>
      </c>
      <c r="D6" s="2" t="s">
        <v>8</v>
      </c>
      <c r="E6" s="2" t="s">
        <v>24</v>
      </c>
      <c r="F6" s="2">
        <v>1</v>
      </c>
      <c r="G6" s="2">
        <v>6800045234</v>
      </c>
      <c r="H6" s="2" t="s">
        <v>4</v>
      </c>
      <c r="I6" s="2" t="s">
        <v>18</v>
      </c>
      <c r="J6" s="2">
        <v>2300</v>
      </c>
      <c r="K6" s="2" t="s">
        <v>2</v>
      </c>
      <c r="L6" s="2" t="s">
        <v>39</v>
      </c>
      <c r="M6" s="23" t="s">
        <v>19</v>
      </c>
      <c r="N6" s="2">
        <v>0</v>
      </c>
      <c r="O6" s="2"/>
      <c r="P6" s="2">
        <v>0</v>
      </c>
      <c r="Q6" s="5">
        <v>0</v>
      </c>
      <c r="R6" s="2"/>
      <c r="S6" s="2">
        <v>0</v>
      </c>
      <c r="T6" s="2">
        <f>J6*S6</f>
        <v>0</v>
      </c>
      <c r="U6" s="2">
        <v>9678</v>
      </c>
    </row>
    <row r="7" spans="1:21" x14ac:dyDescent="0.25">
      <c r="A7" s="19"/>
      <c r="B7" s="3" t="s">
        <v>50</v>
      </c>
      <c r="C7" s="2" t="s">
        <v>22</v>
      </c>
      <c r="D7" s="2" t="s">
        <v>8</v>
      </c>
      <c r="E7" s="2" t="s">
        <v>25</v>
      </c>
      <c r="F7" s="2"/>
      <c r="G7" s="2">
        <v>6800000145</v>
      </c>
      <c r="H7" s="2" t="s">
        <v>4</v>
      </c>
      <c r="I7" s="2" t="s">
        <v>18</v>
      </c>
      <c r="J7" s="2">
        <v>80</v>
      </c>
      <c r="K7" s="2" t="s">
        <v>2</v>
      </c>
      <c r="L7" s="2" t="s">
        <v>39</v>
      </c>
      <c r="M7" s="23" t="s">
        <v>19</v>
      </c>
      <c r="N7" s="2">
        <v>0</v>
      </c>
      <c r="O7" s="2"/>
      <c r="P7" s="2">
        <v>0</v>
      </c>
      <c r="Q7" s="5">
        <v>0</v>
      </c>
      <c r="R7" s="2"/>
      <c r="S7" s="2">
        <v>0</v>
      </c>
      <c r="T7" s="2">
        <f t="shared" ref="T7:T11" si="0">J7*S7</f>
        <v>0</v>
      </c>
      <c r="U7" s="2" t="s">
        <v>53</v>
      </c>
    </row>
    <row r="8" spans="1:21" x14ac:dyDescent="0.25">
      <c r="A8" s="19"/>
      <c r="B8" s="3" t="s">
        <v>54</v>
      </c>
      <c r="C8" s="2" t="s">
        <v>11</v>
      </c>
      <c r="D8" s="2" t="s">
        <v>8</v>
      </c>
      <c r="E8" s="2" t="s">
        <v>36</v>
      </c>
      <c r="F8" s="2"/>
      <c r="G8" s="2">
        <v>6800012548</v>
      </c>
      <c r="H8" s="2" t="s">
        <v>4</v>
      </c>
      <c r="I8" s="2" t="s">
        <v>18</v>
      </c>
      <c r="J8" s="2">
        <v>30</v>
      </c>
      <c r="K8" s="2" t="s">
        <v>2</v>
      </c>
      <c r="L8" s="2">
        <v>4353534</v>
      </c>
      <c r="M8" s="23" t="s">
        <v>19</v>
      </c>
      <c r="N8" s="2">
        <v>0</v>
      </c>
      <c r="O8" s="2"/>
      <c r="P8" s="2">
        <v>0</v>
      </c>
      <c r="Q8" s="5">
        <v>0</v>
      </c>
      <c r="R8" s="2"/>
      <c r="S8" s="2">
        <v>0</v>
      </c>
      <c r="T8" s="2">
        <f t="shared" si="0"/>
        <v>0</v>
      </c>
      <c r="U8" s="2" t="s">
        <v>57</v>
      </c>
    </row>
    <row r="9" spans="1:21" x14ac:dyDescent="0.25">
      <c r="A9" s="19"/>
      <c r="B9" s="3" t="s">
        <v>55</v>
      </c>
      <c r="C9" s="2" t="s">
        <v>22</v>
      </c>
      <c r="D9" s="2" t="s">
        <v>8</v>
      </c>
      <c r="E9" s="2" t="s">
        <v>32</v>
      </c>
      <c r="F9" s="2"/>
      <c r="G9" s="2">
        <v>0</v>
      </c>
      <c r="H9" s="2" t="s">
        <v>4</v>
      </c>
      <c r="I9" s="2" t="s">
        <v>18</v>
      </c>
      <c r="J9" s="2">
        <v>20</v>
      </c>
      <c r="K9" s="2" t="s">
        <v>2</v>
      </c>
      <c r="L9" s="2">
        <v>7895465</v>
      </c>
      <c r="M9" s="23" t="s">
        <v>19</v>
      </c>
      <c r="N9" s="2">
        <v>0</v>
      </c>
      <c r="O9" s="2"/>
      <c r="P9" s="2">
        <v>0</v>
      </c>
      <c r="Q9" s="5">
        <v>0</v>
      </c>
      <c r="R9" s="2"/>
      <c r="S9" s="2">
        <v>0</v>
      </c>
      <c r="T9" s="2">
        <f t="shared" si="0"/>
        <v>0</v>
      </c>
      <c r="U9" s="2" t="s">
        <v>58</v>
      </c>
    </row>
    <row r="10" spans="1:21" x14ac:dyDescent="0.25">
      <c r="A10" s="19"/>
      <c r="B10" s="3" t="s">
        <v>56</v>
      </c>
      <c r="C10" s="2" t="s">
        <v>22</v>
      </c>
      <c r="D10" s="2" t="s">
        <v>8</v>
      </c>
      <c r="E10" s="2" t="s">
        <v>26</v>
      </c>
      <c r="F10" s="2"/>
      <c r="G10" s="2">
        <v>6859421587</v>
      </c>
      <c r="H10" s="2" t="s">
        <v>4</v>
      </c>
      <c r="I10" s="2" t="s">
        <v>18</v>
      </c>
      <c r="J10" s="2">
        <v>200</v>
      </c>
      <c r="K10" s="2" t="s">
        <v>2</v>
      </c>
      <c r="L10" s="2">
        <v>9568574</v>
      </c>
      <c r="M10" s="23" t="s">
        <v>19</v>
      </c>
      <c r="N10" s="2">
        <v>0</v>
      </c>
      <c r="O10" s="2"/>
      <c r="P10" s="2">
        <v>0</v>
      </c>
      <c r="Q10" s="5">
        <v>0</v>
      </c>
      <c r="R10" s="2"/>
      <c r="S10" s="2">
        <v>0</v>
      </c>
      <c r="T10" s="2">
        <f t="shared" si="0"/>
        <v>0</v>
      </c>
      <c r="U10" s="2" t="s">
        <v>59</v>
      </c>
    </row>
    <row r="11" spans="1:21" x14ac:dyDescent="0.25">
      <c r="A11" s="6" t="s">
        <v>51</v>
      </c>
      <c r="B11" s="3" t="s">
        <v>52</v>
      </c>
      <c r="C11" s="2" t="s">
        <v>11</v>
      </c>
      <c r="D11" s="2" t="s">
        <v>8</v>
      </c>
      <c r="E11" s="2"/>
      <c r="F11" s="2"/>
      <c r="G11" s="2">
        <v>0</v>
      </c>
      <c r="H11" s="2" t="s">
        <v>4</v>
      </c>
      <c r="I11" s="2" t="s">
        <v>20</v>
      </c>
      <c r="J11" s="2">
        <v>50</v>
      </c>
      <c r="K11" s="2" t="s">
        <v>2</v>
      </c>
      <c r="L11" s="2">
        <v>46464656</v>
      </c>
      <c r="M11" s="23" t="s">
        <v>19</v>
      </c>
      <c r="N11" s="2">
        <v>0</v>
      </c>
      <c r="O11" s="2"/>
      <c r="P11" s="2">
        <v>0</v>
      </c>
      <c r="Q11" s="5">
        <v>0</v>
      </c>
      <c r="R11" s="2"/>
      <c r="S11" s="2">
        <v>0</v>
      </c>
      <c r="T11" s="2">
        <f t="shared" si="0"/>
        <v>0</v>
      </c>
      <c r="U11" s="2">
        <v>9700</v>
      </c>
    </row>
  </sheetData>
  <mergeCells count="2">
    <mergeCell ref="A5:A10"/>
    <mergeCell ref="N4:T4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"/>
  <sheetViews>
    <sheetView workbookViewId="0">
      <selection activeCell="J17" sqref="J16:J17"/>
    </sheetView>
  </sheetViews>
  <sheetFormatPr baseColWidth="10" defaultRowHeight="15" x14ac:dyDescent="0.25"/>
  <cols>
    <col min="1" max="1" width="20.28515625" customWidth="1"/>
    <col min="6" max="6" width="13.7109375" style="1" customWidth="1"/>
    <col min="16" max="16" width="18.28515625" customWidth="1"/>
  </cols>
  <sheetData>
    <row r="1" spans="1:35" x14ac:dyDescent="0.25">
      <c r="A1" s="3" t="s">
        <v>48</v>
      </c>
      <c r="B1" s="2" t="s">
        <v>22</v>
      </c>
      <c r="C1" s="2" t="s">
        <v>8</v>
      </c>
      <c r="D1" s="2" t="s">
        <v>23</v>
      </c>
      <c r="E1" s="2"/>
      <c r="F1" s="2">
        <v>6800045896</v>
      </c>
      <c r="G1" s="2" t="s">
        <v>4</v>
      </c>
      <c r="H1" s="2" t="s">
        <v>18</v>
      </c>
      <c r="I1" s="2">
        <v>78</v>
      </c>
      <c r="J1" s="2" t="s">
        <v>2</v>
      </c>
      <c r="K1" s="2" t="s">
        <v>39</v>
      </c>
      <c r="L1" s="2" t="s">
        <v>19</v>
      </c>
      <c r="M1" s="2">
        <v>0</v>
      </c>
      <c r="N1" s="2"/>
      <c r="O1" s="2">
        <v>0</v>
      </c>
      <c r="P1" s="5">
        <v>0</v>
      </c>
      <c r="Q1" s="2"/>
      <c r="R1" s="2">
        <v>0</v>
      </c>
      <c r="S1" s="2">
        <f>I1*R1</f>
        <v>0</v>
      </c>
      <c r="T1" s="2">
        <v>9576</v>
      </c>
      <c r="U1" s="2">
        <v>0</v>
      </c>
      <c r="V1" s="2">
        <v>0</v>
      </c>
      <c r="W1" s="2"/>
      <c r="X1" s="2">
        <v>0</v>
      </c>
      <c r="Y1" s="2">
        <v>0</v>
      </c>
      <c r="Z1" s="2">
        <v>0</v>
      </c>
      <c r="AA1" s="2"/>
      <c r="AB1" s="2">
        <v>0</v>
      </c>
      <c r="AC1" s="2">
        <v>0</v>
      </c>
      <c r="AD1" s="2">
        <v>9576</v>
      </c>
      <c r="AE1" s="2" t="s">
        <v>34</v>
      </c>
      <c r="AF1" s="2">
        <v>559</v>
      </c>
      <c r="AG1" s="2">
        <v>15</v>
      </c>
      <c r="AH1" s="2" t="s">
        <v>8</v>
      </c>
      <c r="AI1" s="2">
        <v>0</v>
      </c>
    </row>
    <row r="2" spans="1:35" x14ac:dyDescent="0.25">
      <c r="A2" s="3" t="s">
        <v>49</v>
      </c>
      <c r="B2" s="2" t="s">
        <v>11</v>
      </c>
      <c r="C2" s="2" t="s">
        <v>8</v>
      </c>
      <c r="D2" s="2" t="s">
        <v>24</v>
      </c>
      <c r="E2" s="2">
        <v>1</v>
      </c>
      <c r="F2" s="2">
        <v>6800045234</v>
      </c>
      <c r="G2" s="2" t="s">
        <v>4</v>
      </c>
      <c r="H2" s="2" t="s">
        <v>18</v>
      </c>
      <c r="I2" s="2">
        <v>2300</v>
      </c>
      <c r="J2" s="2" t="s">
        <v>2</v>
      </c>
      <c r="K2" s="2" t="s">
        <v>39</v>
      </c>
      <c r="L2" s="2" t="s">
        <v>19</v>
      </c>
      <c r="M2" s="2">
        <v>0</v>
      </c>
      <c r="N2" s="2"/>
      <c r="O2" s="2">
        <v>0</v>
      </c>
      <c r="P2" s="5">
        <v>0</v>
      </c>
      <c r="Q2" s="2"/>
      <c r="R2" s="2">
        <v>0</v>
      </c>
      <c r="S2" s="2">
        <f>I2*R2</f>
        <v>0</v>
      </c>
      <c r="T2" s="2">
        <v>9678</v>
      </c>
      <c r="U2" s="2">
        <v>0</v>
      </c>
      <c r="V2" s="2">
        <v>0</v>
      </c>
      <c r="W2" s="2"/>
      <c r="X2" s="2">
        <v>0</v>
      </c>
      <c r="Y2" s="2">
        <v>0</v>
      </c>
      <c r="Z2" s="2">
        <v>0</v>
      </c>
      <c r="AA2" s="2"/>
      <c r="AB2" s="2">
        <v>0</v>
      </c>
      <c r="AC2" s="2">
        <v>0</v>
      </c>
      <c r="AD2" s="2">
        <v>9678</v>
      </c>
      <c r="AE2" s="2" t="s">
        <v>8</v>
      </c>
      <c r="AF2" s="2"/>
      <c r="AG2" s="2">
        <v>0</v>
      </c>
      <c r="AH2" s="2" t="s">
        <v>30</v>
      </c>
      <c r="AI2" s="2">
        <v>984555</v>
      </c>
    </row>
    <row r="3" spans="1:35" x14ac:dyDescent="0.25">
      <c r="A3" s="3" t="s">
        <v>50</v>
      </c>
      <c r="B3" s="2" t="s">
        <v>22</v>
      </c>
      <c r="C3" s="2" t="s">
        <v>8</v>
      </c>
      <c r="D3" s="2" t="s">
        <v>25</v>
      </c>
      <c r="E3" s="2"/>
      <c r="F3" s="2">
        <v>6800000145</v>
      </c>
      <c r="G3" s="2" t="s">
        <v>4</v>
      </c>
      <c r="H3" s="2" t="s">
        <v>18</v>
      </c>
      <c r="I3" s="2">
        <v>80</v>
      </c>
      <c r="J3" s="2" t="s">
        <v>2</v>
      </c>
      <c r="K3" s="2" t="s">
        <v>39</v>
      </c>
      <c r="L3" s="2" t="s">
        <v>19</v>
      </c>
      <c r="M3" s="2">
        <v>0</v>
      </c>
      <c r="N3" s="2"/>
      <c r="O3" s="2">
        <v>0</v>
      </c>
      <c r="P3" s="5">
        <v>0</v>
      </c>
      <c r="Q3" s="2"/>
      <c r="R3" s="2">
        <v>0</v>
      </c>
      <c r="S3" s="2">
        <f t="shared" ref="S3:S6" si="0">I3*R3</f>
        <v>0</v>
      </c>
      <c r="T3" s="2" t="s">
        <v>53</v>
      </c>
      <c r="U3" s="2">
        <v>3.74</v>
      </c>
      <c r="V3" s="2">
        <v>299.2</v>
      </c>
      <c r="W3" s="2"/>
      <c r="X3" s="2">
        <v>0</v>
      </c>
      <c r="Y3" s="2">
        <v>0</v>
      </c>
      <c r="Z3" s="2">
        <v>0</v>
      </c>
      <c r="AA3" s="2"/>
      <c r="AB3" s="2">
        <v>0</v>
      </c>
      <c r="AC3" s="2">
        <v>0</v>
      </c>
      <c r="AD3" s="2">
        <v>9680</v>
      </c>
      <c r="AE3" s="2" t="s">
        <v>8</v>
      </c>
      <c r="AF3" s="2"/>
      <c r="AG3" s="2">
        <v>0</v>
      </c>
      <c r="AH3" s="2" t="s">
        <v>8</v>
      </c>
      <c r="AI3" s="2">
        <v>0</v>
      </c>
    </row>
    <row r="4" spans="1:35" x14ac:dyDescent="0.25">
      <c r="A4" s="3" t="s">
        <v>54</v>
      </c>
      <c r="B4" s="2" t="s">
        <v>11</v>
      </c>
      <c r="C4" s="2" t="s">
        <v>8</v>
      </c>
      <c r="D4" s="2" t="s">
        <v>36</v>
      </c>
      <c r="E4" s="2"/>
      <c r="F4" s="2">
        <v>6800012548</v>
      </c>
      <c r="G4" s="2" t="s">
        <v>4</v>
      </c>
      <c r="H4" s="2" t="s">
        <v>18</v>
      </c>
      <c r="I4" s="2">
        <v>30</v>
      </c>
      <c r="J4" s="2" t="s">
        <v>2</v>
      </c>
      <c r="K4" s="2">
        <v>4353534</v>
      </c>
      <c r="L4" s="2" t="s">
        <v>19</v>
      </c>
      <c r="M4" s="2">
        <v>0</v>
      </c>
      <c r="N4" s="2"/>
      <c r="O4" s="2">
        <v>0</v>
      </c>
      <c r="P4" s="5">
        <v>0</v>
      </c>
      <c r="Q4" s="2"/>
      <c r="R4" s="2">
        <v>0</v>
      </c>
      <c r="S4" s="2">
        <f t="shared" si="0"/>
        <v>0</v>
      </c>
      <c r="T4" s="2" t="s">
        <v>57</v>
      </c>
      <c r="U4" s="2">
        <v>0</v>
      </c>
      <c r="V4" s="2">
        <v>0</v>
      </c>
      <c r="W4" s="2"/>
      <c r="X4" s="2">
        <v>0</v>
      </c>
      <c r="Y4" s="2">
        <v>0</v>
      </c>
      <c r="Z4" s="2">
        <v>0</v>
      </c>
      <c r="AA4" s="2"/>
      <c r="AB4" s="2">
        <v>0</v>
      </c>
      <c r="AC4" s="2">
        <v>0</v>
      </c>
      <c r="AD4" s="2">
        <v>788</v>
      </c>
      <c r="AE4" s="2" t="s">
        <v>8</v>
      </c>
      <c r="AF4" s="2"/>
      <c r="AG4" s="2">
        <v>0</v>
      </c>
      <c r="AH4" s="2" t="s">
        <v>8</v>
      </c>
      <c r="AI4" s="2">
        <v>0</v>
      </c>
    </row>
    <row r="5" spans="1:35" x14ac:dyDescent="0.25">
      <c r="A5" s="3" t="s">
        <v>55</v>
      </c>
      <c r="B5" s="2" t="s">
        <v>22</v>
      </c>
      <c r="C5" s="2" t="s">
        <v>8</v>
      </c>
      <c r="D5" s="2" t="s">
        <v>32</v>
      </c>
      <c r="E5" s="2"/>
      <c r="F5" s="2">
        <v>0</v>
      </c>
      <c r="G5" s="2" t="s">
        <v>4</v>
      </c>
      <c r="H5" s="2" t="s">
        <v>18</v>
      </c>
      <c r="I5" s="2">
        <v>20</v>
      </c>
      <c r="J5" s="2" t="s">
        <v>2</v>
      </c>
      <c r="K5" s="2">
        <v>7895465</v>
      </c>
      <c r="L5" s="2" t="s">
        <v>19</v>
      </c>
      <c r="M5" s="2">
        <v>0</v>
      </c>
      <c r="N5" s="2"/>
      <c r="O5" s="2">
        <v>0</v>
      </c>
      <c r="P5" s="5">
        <v>0</v>
      </c>
      <c r="Q5" s="2"/>
      <c r="R5" s="2">
        <v>0</v>
      </c>
      <c r="S5" s="2">
        <f t="shared" si="0"/>
        <v>0</v>
      </c>
      <c r="T5" s="2" t="s">
        <v>58</v>
      </c>
      <c r="U5" s="2">
        <v>0</v>
      </c>
      <c r="V5" s="2">
        <v>0</v>
      </c>
      <c r="W5" s="2"/>
      <c r="X5" s="2">
        <v>0</v>
      </c>
      <c r="Y5" s="2">
        <v>0</v>
      </c>
      <c r="Z5" s="2">
        <v>0</v>
      </c>
      <c r="AA5" s="2"/>
      <c r="AB5" s="2">
        <v>0</v>
      </c>
      <c r="AC5" s="2">
        <v>0</v>
      </c>
      <c r="AD5" s="2">
        <v>65</v>
      </c>
      <c r="AE5" s="2" t="s">
        <v>8</v>
      </c>
      <c r="AF5" s="2"/>
      <c r="AG5" s="2">
        <v>0</v>
      </c>
      <c r="AH5" s="2" t="s">
        <v>8</v>
      </c>
      <c r="AI5" s="2">
        <v>0</v>
      </c>
    </row>
    <row r="6" spans="1:35" x14ac:dyDescent="0.25">
      <c r="A6" s="3" t="s">
        <v>56</v>
      </c>
      <c r="B6" s="2" t="s">
        <v>22</v>
      </c>
      <c r="C6" s="2" t="s">
        <v>8</v>
      </c>
      <c r="D6" s="2" t="s">
        <v>26</v>
      </c>
      <c r="E6" s="2"/>
      <c r="F6" s="2">
        <v>6859421587</v>
      </c>
      <c r="G6" s="2" t="s">
        <v>4</v>
      </c>
      <c r="H6" s="2" t="s">
        <v>18</v>
      </c>
      <c r="I6" s="2">
        <v>200</v>
      </c>
      <c r="J6" s="2" t="s">
        <v>2</v>
      </c>
      <c r="K6" s="2">
        <v>9568574</v>
      </c>
      <c r="L6" s="2" t="s">
        <v>19</v>
      </c>
      <c r="M6" s="2">
        <v>0</v>
      </c>
      <c r="N6" s="2"/>
      <c r="O6" s="2">
        <v>0</v>
      </c>
      <c r="P6" s="5">
        <v>0</v>
      </c>
      <c r="Q6" s="2"/>
      <c r="R6" s="2">
        <v>0</v>
      </c>
      <c r="S6" s="2">
        <f t="shared" si="0"/>
        <v>0</v>
      </c>
      <c r="T6" s="2" t="s">
        <v>59</v>
      </c>
      <c r="U6" s="2">
        <v>0</v>
      </c>
      <c r="V6" s="2">
        <v>0</v>
      </c>
      <c r="W6" s="2"/>
      <c r="X6" s="2">
        <v>0</v>
      </c>
      <c r="Y6" s="2">
        <v>987</v>
      </c>
      <c r="Z6" s="2">
        <v>9001025455</v>
      </c>
      <c r="AA6" s="2" t="s">
        <v>27</v>
      </c>
      <c r="AB6" s="2">
        <v>4.1500000000000004</v>
      </c>
      <c r="AC6" s="2">
        <f>AB6*I6</f>
        <v>830.00000000000011</v>
      </c>
      <c r="AD6" s="2">
        <v>9690</v>
      </c>
      <c r="AE6" s="2" t="s">
        <v>8</v>
      </c>
      <c r="AF6" s="2"/>
      <c r="AG6" s="2">
        <v>0</v>
      </c>
      <c r="AH6" s="2" t="s">
        <v>8</v>
      </c>
      <c r="AI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"/>
  <sheetViews>
    <sheetView workbookViewId="0">
      <selection sqref="A1:T1"/>
    </sheetView>
  </sheetViews>
  <sheetFormatPr baseColWidth="10" defaultRowHeight="15" x14ac:dyDescent="0.25"/>
  <cols>
    <col min="6" max="6" width="11.42578125" style="1"/>
    <col min="32" max="32" width="11.42578125" style="17"/>
  </cols>
  <sheetData>
    <row r="1" spans="1:35" x14ac:dyDescent="0.25">
      <c r="A1" s="3" t="s">
        <v>52</v>
      </c>
      <c r="B1" s="2" t="s">
        <v>11</v>
      </c>
      <c r="C1" s="2" t="s">
        <v>8</v>
      </c>
      <c r="D1" s="2"/>
      <c r="E1" s="2"/>
      <c r="F1" s="2">
        <v>0</v>
      </c>
      <c r="G1" s="2" t="s">
        <v>4</v>
      </c>
      <c r="H1" s="2" t="s">
        <v>20</v>
      </c>
      <c r="I1" s="2">
        <v>50</v>
      </c>
      <c r="J1" s="2" t="s">
        <v>2</v>
      </c>
      <c r="K1" s="2">
        <v>46464656</v>
      </c>
      <c r="L1" s="2" t="s">
        <v>19</v>
      </c>
      <c r="M1" s="2">
        <v>0</v>
      </c>
      <c r="N1" s="2"/>
      <c r="O1" s="2">
        <v>0</v>
      </c>
      <c r="P1" s="5">
        <v>0</v>
      </c>
      <c r="Q1" s="2"/>
      <c r="R1" s="2">
        <v>0</v>
      </c>
      <c r="S1" s="2">
        <f t="shared" ref="S1" si="0">I1*R1</f>
        <v>0</v>
      </c>
      <c r="T1" s="2">
        <v>9700</v>
      </c>
      <c r="U1" s="2">
        <v>0</v>
      </c>
      <c r="V1" s="2">
        <v>0</v>
      </c>
      <c r="W1" s="2"/>
      <c r="X1" s="2">
        <v>0</v>
      </c>
      <c r="Y1" s="2">
        <v>0</v>
      </c>
      <c r="Z1" s="2">
        <v>0</v>
      </c>
      <c r="AA1" s="2"/>
      <c r="AB1" s="2">
        <v>0</v>
      </c>
      <c r="AC1" s="2">
        <v>0</v>
      </c>
      <c r="AD1" s="2">
        <v>9700</v>
      </c>
      <c r="AE1" s="2" t="s">
        <v>8</v>
      </c>
      <c r="AF1" s="2"/>
      <c r="AG1" s="2">
        <v>0</v>
      </c>
      <c r="AH1" s="2" t="s">
        <v>8</v>
      </c>
      <c r="AI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 de Despachos</vt:lpstr>
      <vt:lpstr>Ejm. SalidaXConsumoPropio</vt:lpstr>
      <vt:lpstr>Ejm. SalidaXMerma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Lucio Fernandez Huanca</cp:lastModifiedBy>
  <cp:lastPrinted>2016-11-23T22:04:17Z</cp:lastPrinted>
  <dcterms:created xsi:type="dcterms:W3CDTF">2016-04-19T13:46:13Z</dcterms:created>
  <dcterms:modified xsi:type="dcterms:W3CDTF">2026-07-30T19:56:59Z</dcterms:modified>
</cp:coreProperties>
</file>