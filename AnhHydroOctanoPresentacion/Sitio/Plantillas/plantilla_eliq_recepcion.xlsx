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istemas_2016\AnhHydroOctanoVolumenes\OctanoVolumenes\AnhHydroOctanoVolumenes\AnhHydroOctanoPresentacion\Sitio\Plantillas\"/>
    </mc:Choice>
  </mc:AlternateContent>
  <bookViews>
    <workbookView xWindow="480" yWindow="120" windowWidth="18195" windowHeight="8445"/>
  </bookViews>
  <sheets>
    <sheet name="Listado Tipos de Operaciones " sheetId="13" r:id="rId1"/>
    <sheet name="IngXCompra" sheetId="17" r:id="rId2"/>
    <sheet name="IngXDemasia" sheetId="18" r:id="rId3"/>
  </sheets>
  <calcPr calcId="152511"/>
</workbook>
</file>

<file path=xl/calcChain.xml><?xml version="1.0" encoding="utf-8"?>
<calcChain xmlns="http://schemas.openxmlformats.org/spreadsheetml/2006/main">
  <c r="T7" i="13" l="1"/>
  <c r="T6" i="13"/>
  <c r="T5" i="13"/>
</calcChain>
</file>

<file path=xl/sharedStrings.xml><?xml version="1.0" encoding="utf-8"?>
<sst xmlns="http://schemas.openxmlformats.org/spreadsheetml/2006/main" count="506" uniqueCount="110">
  <si>
    <t>CANTIDAD</t>
  </si>
  <si>
    <t>PRECIO</t>
  </si>
  <si>
    <t>V</t>
  </si>
  <si>
    <t>NIT</t>
  </si>
  <si>
    <t>RAZON SOCIAL</t>
  </si>
  <si>
    <t>PRODUCTO</t>
  </si>
  <si>
    <t>RESPONSABLE</t>
  </si>
  <si>
    <t>NOID</t>
  </si>
  <si>
    <t>C.I. USUARIO</t>
  </si>
  <si>
    <t>CODIGO TANQUE CISTERNA</t>
  </si>
  <si>
    <t>A</t>
  </si>
  <si>
    <t>IMPORTE</t>
  </si>
  <si>
    <t>TK</t>
  </si>
  <si>
    <t>ESTADO
V = VALIDO
A = ANULADO</t>
  </si>
  <si>
    <t>TIPO DE OPERACIÓN\COLUMNA CSV</t>
  </si>
  <si>
    <t>FECHA</t>
  </si>
  <si>
    <t>COPIA PLACA</t>
  </si>
  <si>
    <t>NO FACTURA</t>
  </si>
  <si>
    <t>NO AUTORIZACION</t>
  </si>
  <si>
    <t>01/10/2016 07:10:41</t>
  </si>
  <si>
    <t>TIPO INFRA RECEPTOR/DESPACHANTE NOID = NO IDENTIFICADO
TK = TANQUE
MN = MANGUERA</t>
  </si>
  <si>
    <t>INFRAESTRUCTURA RECEPTOR/DESPACHANTE</t>
  </si>
  <si>
    <t>TK-GE001</t>
  </si>
  <si>
    <t>347YHD</t>
  </si>
  <si>
    <t>TK-CS-003002</t>
  </si>
  <si>
    <t>GE</t>
  </si>
  <si>
    <t>YPFB</t>
  </si>
  <si>
    <t>AA-43-34-34</t>
  </si>
  <si>
    <t>02/10/2016 06:05:10</t>
  </si>
  <si>
    <t>TERMINAL ALMACENAJE 1</t>
  </si>
  <si>
    <t>TK-DO001</t>
  </si>
  <si>
    <t>958YUJ</t>
  </si>
  <si>
    <t>TK-CS-00367</t>
  </si>
  <si>
    <t>PRECINTOS</t>
  </si>
  <si>
    <t>485|486</t>
  </si>
  <si>
    <t>PROYECTO ORIGEN/DESTINO              (RAZON SOCIAL)
NOID = NO IDENTIFICADO</t>
  </si>
  <si>
    <t>DO</t>
  </si>
  <si>
    <t xml:space="preserve">NUMERO REFERENCIA </t>
  </si>
  <si>
    <t>CI RESPONSABLE</t>
  </si>
  <si>
    <t>TK-GP001</t>
  </si>
  <si>
    <t>956YUY</t>
  </si>
  <si>
    <t>A34-434001</t>
  </si>
  <si>
    <t>95684|558</t>
  </si>
  <si>
    <t>GP</t>
  </si>
  <si>
    <t>45-AA-43-BC</t>
  </si>
  <si>
    <t>11-23-AC-B1</t>
  </si>
  <si>
    <t>CHOFER X</t>
  </si>
  <si>
    <t>02/10/2016 10:15:13</t>
  </si>
  <si>
    <t>01/10/2016</t>
  </si>
  <si>
    <t>CODIGO CONTROL</t>
  </si>
  <si>
    <t>DOCUMENTO - FACTURA</t>
  </si>
  <si>
    <t>DOC - PRECINTOS</t>
  </si>
  <si>
    <t>DOCUMENTO - PRINCIPAL</t>
  </si>
  <si>
    <t>IDENTIFICADOR (PLACA)</t>
  </si>
  <si>
    <t>AUTORIZACION DE COMPRA LOCAL - SUSTANCIAS CONTROLADAS (ACL)</t>
  </si>
  <si>
    <t>DOC - SUST. CTRL.</t>
  </si>
  <si>
    <t>NRO HOJA DE RUTA - SUSTANCIAS CONTROLADAS</t>
  </si>
  <si>
    <t>01/04/2016</t>
  </si>
  <si>
    <t>02/04/2016</t>
  </si>
  <si>
    <t>03/04/2016</t>
  </si>
  <si>
    <t>04/04/2016</t>
  </si>
  <si>
    <t>05/04/2016</t>
  </si>
  <si>
    <t>09/04/2016</t>
  </si>
  <si>
    <t>13/04/2016</t>
  </si>
  <si>
    <t>14/04/2016</t>
  </si>
  <si>
    <t>CDE123</t>
  </si>
  <si>
    <t>CDE124</t>
  </si>
  <si>
    <t>CDE125</t>
  </si>
  <si>
    <t>CDE126</t>
  </si>
  <si>
    <t>CDE127</t>
  </si>
  <si>
    <t>CDE128</t>
  </si>
  <si>
    <t>CDE129</t>
  </si>
  <si>
    <t>CDE130</t>
  </si>
  <si>
    <t>CDE131</t>
  </si>
  <si>
    <t>CDE132</t>
  </si>
  <si>
    <t>CDE133</t>
  </si>
  <si>
    <t>CDE134</t>
  </si>
  <si>
    <t>CDE135</t>
  </si>
  <si>
    <t>CDE136</t>
  </si>
  <si>
    <t>CDE137</t>
  </si>
  <si>
    <t>CDE138</t>
  </si>
  <si>
    <t>CDE139</t>
  </si>
  <si>
    <t>CDE140</t>
  </si>
  <si>
    <t>CDE141</t>
  </si>
  <si>
    <t>CDE142</t>
  </si>
  <si>
    <t>CDE143</t>
  </si>
  <si>
    <t>CDE144</t>
  </si>
  <si>
    <t>CDE145</t>
  </si>
  <si>
    <t>CDE146</t>
  </si>
  <si>
    <t>alberto</t>
  </si>
  <si>
    <t>marco</t>
  </si>
  <si>
    <t>cesar</t>
  </si>
  <si>
    <t>oscar</t>
  </si>
  <si>
    <t>AA-11-22-33</t>
  </si>
  <si>
    <t>CHOFER 1</t>
  </si>
  <si>
    <t>CHOFER 2</t>
  </si>
  <si>
    <t>CS001-0009</t>
  </si>
  <si>
    <t>2423|23</t>
  </si>
  <si>
    <t>admin</t>
  </si>
  <si>
    <t>Texto</t>
  </si>
  <si>
    <t>Numerico</t>
  </si>
  <si>
    <t>15/04/2016</t>
  </si>
  <si>
    <t>INTERNO</t>
  </si>
  <si>
    <t>PROYECTO ORIGEN/DESTINO              (RAZON SOCIAL)
NOID = NO IDENTIFICADO
INTERNO = MOV. INTERNO</t>
  </si>
  <si>
    <t>11/04/2016</t>
  </si>
  <si>
    <t>12/04/2016</t>
  </si>
  <si>
    <t>16/04/2016</t>
  </si>
  <si>
    <t>INGRESO X COMPRA</t>
  </si>
  <si>
    <t>INGRESO X DEMASIA</t>
  </si>
  <si>
    <t>TIPO INFRAESTRUCTURA RECEPTOR/DESPACHANTE NOID = NO IDENTIFICADO
TK = TANQUE
MN = MANGUERA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</si>
</sst>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0" fillId="0" borderId="0" xfId="0" applyFill="1" applyBorder="1"/>
    <xf numFmtId="1" fontId="0" fillId="0" borderId="1" xfId="0" applyNumberFormat="1" applyBorder="1"/>
    <xf numFmtId="49" fontId="3" fillId="4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0" fillId="0" borderId="6" xfId="0" applyNumberFormat="1" applyBorder="1"/>
    <xf numFmtId="0" fontId="0" fillId="0" borderId="6" xfId="0" applyBorder="1"/>
    <xf numFmtId="1" fontId="0" fillId="0" borderId="6" xfId="0" applyNumberFormat="1" applyBorder="1"/>
    <xf numFmtId="49" fontId="3" fillId="6" borderId="1" xfId="0" applyNumberFormat="1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0" xfId="0" applyFill="1"/>
    <xf numFmtId="49" fontId="0" fillId="0" borderId="0" xfId="0" applyNumberFormat="1" applyFill="1" applyAlignment="1">
      <alignment horizontal="left"/>
    </xf>
    <xf numFmtId="49" fontId="3" fillId="5" borderId="2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49" fontId="3" fillId="5" borderId="4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0" fontId="3" fillId="3" borderId="0" xfId="0" applyFont="1" applyFill="1"/>
    <xf numFmtId="1" fontId="3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7" borderId="5" xfId="0" applyFont="1" applyFill="1" applyBorder="1" applyAlignment="1">
      <alignment horizontal="center" vertical="center" wrapText="1"/>
    </xf>
    <xf numFmtId="49" fontId="1" fillId="7" borderId="5" xfId="0" applyNumberFormat="1" applyFont="1" applyFill="1" applyBorder="1" applyAlignment="1">
      <alignment horizontal="center" vertical="center" wrapText="1"/>
    </xf>
    <xf numFmtId="49" fontId="3" fillId="7" borderId="5" xfId="0" applyNumberFormat="1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49" fontId="1" fillId="8" borderId="5" xfId="0" applyNumberFormat="1" applyFont="1" applyFill="1" applyBorder="1" applyAlignment="1">
      <alignment horizontal="center" vertical="center" wrapText="1"/>
    </xf>
    <xf numFmtId="49" fontId="3" fillId="8" borderId="5" xfId="0" applyNumberFormat="1" applyFont="1" applyFill="1" applyBorder="1" applyAlignment="1">
      <alignment horizontal="center" vertical="center" wrapText="1"/>
    </xf>
    <xf numFmtId="1" fontId="3" fillId="8" borderId="5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center" vertical="center" wrapText="1"/>
    </xf>
    <xf numFmtId="49" fontId="3" fillId="7" borderId="1" xfId="0" applyNumberFormat="1" applyFont="1" applyFill="1" applyBorder="1" applyAlignment="1">
      <alignment horizontal="center" vertical="center" wrapText="1"/>
    </xf>
    <xf numFmtId="1" fontId="3" fillId="7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/>
    <xf numFmtId="1" fontId="0" fillId="0" borderId="1" xfId="0" applyNumberFormat="1" applyFill="1" applyBorder="1"/>
    <xf numFmtId="14" fontId="0" fillId="0" borderId="1" xfId="0" applyNumberFormat="1" applyFill="1" applyBorder="1" applyAlignment="1">
      <alignment horizontal="left"/>
    </xf>
    <xf numFmtId="49" fontId="0" fillId="0" borderId="1" xfId="0" applyNumberFormat="1" applyFill="1" applyBorder="1" applyAlignment="1">
      <alignment horizontal="left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Views>
    <sheetView tabSelected="1" workbookViewId="0">
      <pane xSplit="1" topLeftCell="B1" activePane="topRight" state="frozen"/>
      <selection pane="topRight"/>
    </sheetView>
  </sheetViews>
  <sheetFormatPr baseColWidth="10" defaultColWidth="17.140625" defaultRowHeight="15" x14ac:dyDescent="0.25"/>
  <cols>
    <col min="1" max="1" width="25.5703125" style="1" customWidth="1"/>
    <col min="2" max="2" width="19.140625" style="1" customWidth="1"/>
    <col min="3" max="3" width="25.28515625" style="1" customWidth="1"/>
    <col min="4" max="4" width="24.42578125" style="1" customWidth="1"/>
    <col min="5" max="5" width="24.5703125" style="1" customWidth="1"/>
    <col min="6" max="23" width="17.140625" style="1"/>
    <col min="24" max="24" width="22.140625" style="1" customWidth="1"/>
    <col min="25" max="16384" width="17.140625" style="1"/>
  </cols>
  <sheetData>
    <row r="1" spans="1:25" s="14" customFormat="1" x14ac:dyDescent="0.25">
      <c r="A1" s="23"/>
      <c r="B1" s="24">
        <v>0</v>
      </c>
      <c r="C1" s="25">
        <v>1</v>
      </c>
      <c r="D1" s="24">
        <v>2</v>
      </c>
      <c r="E1" s="25">
        <v>3</v>
      </c>
      <c r="F1" s="24">
        <v>4</v>
      </c>
      <c r="G1" s="25">
        <v>5</v>
      </c>
      <c r="H1" s="24">
        <v>6</v>
      </c>
      <c r="I1" s="25">
        <v>7</v>
      </c>
      <c r="J1" s="24">
        <v>8</v>
      </c>
      <c r="K1" s="25">
        <v>9</v>
      </c>
      <c r="L1" s="24">
        <v>10</v>
      </c>
      <c r="M1" s="25">
        <v>11</v>
      </c>
      <c r="N1" s="24">
        <v>12</v>
      </c>
      <c r="O1" s="25">
        <v>13</v>
      </c>
      <c r="P1" s="24">
        <v>14</v>
      </c>
      <c r="Q1" s="25">
        <v>15</v>
      </c>
      <c r="R1" s="24">
        <v>16</v>
      </c>
      <c r="S1" s="25">
        <v>17</v>
      </c>
      <c r="T1" s="24">
        <v>18</v>
      </c>
      <c r="U1" s="25">
        <v>19</v>
      </c>
      <c r="V1" s="24">
        <v>20</v>
      </c>
      <c r="W1" s="25">
        <v>21</v>
      </c>
      <c r="X1" s="24">
        <v>22</v>
      </c>
      <c r="Y1" s="25">
        <v>23</v>
      </c>
    </row>
    <row r="2" spans="1:25" ht="26.25" customHeight="1" x14ac:dyDescent="0.25">
      <c r="A2" s="26"/>
      <c r="B2" s="27" t="s">
        <v>99</v>
      </c>
      <c r="C2" s="27" t="s">
        <v>99</v>
      </c>
      <c r="D2" s="27" t="s">
        <v>99</v>
      </c>
      <c r="E2" s="27" t="s">
        <v>99</v>
      </c>
      <c r="F2" s="27" t="s">
        <v>99</v>
      </c>
      <c r="G2" s="27" t="s">
        <v>99</v>
      </c>
      <c r="H2" s="27" t="s">
        <v>99</v>
      </c>
      <c r="I2" s="27" t="s">
        <v>99</v>
      </c>
      <c r="J2" s="27" t="s">
        <v>99</v>
      </c>
      <c r="K2" s="28" t="s">
        <v>100</v>
      </c>
      <c r="L2" s="27" t="s">
        <v>99</v>
      </c>
      <c r="M2" s="27" t="s">
        <v>99</v>
      </c>
      <c r="N2" s="28" t="s">
        <v>100</v>
      </c>
      <c r="O2" s="27" t="s">
        <v>99</v>
      </c>
      <c r="P2" s="28" t="s">
        <v>100</v>
      </c>
      <c r="Q2" s="28" t="s">
        <v>100</v>
      </c>
      <c r="R2" s="27" t="s">
        <v>99</v>
      </c>
      <c r="S2" s="28" t="s">
        <v>100</v>
      </c>
      <c r="T2" s="28" t="s">
        <v>100</v>
      </c>
      <c r="U2" s="27" t="s">
        <v>99</v>
      </c>
      <c r="V2" s="27" t="s">
        <v>99</v>
      </c>
      <c r="W2" s="28" t="s">
        <v>100</v>
      </c>
      <c r="X2" s="28" t="s">
        <v>100</v>
      </c>
      <c r="Y2" s="28" t="s">
        <v>100</v>
      </c>
    </row>
    <row r="3" spans="1:25" ht="121.5" customHeight="1" x14ac:dyDescent="0.25">
      <c r="A3" s="29" t="s">
        <v>14</v>
      </c>
      <c r="B3" s="30" t="s">
        <v>15</v>
      </c>
      <c r="C3" s="30" t="s">
        <v>35</v>
      </c>
      <c r="D3" s="31" t="s">
        <v>20</v>
      </c>
      <c r="E3" s="31" t="s">
        <v>21</v>
      </c>
      <c r="F3" s="31" t="s">
        <v>53</v>
      </c>
      <c r="G3" s="31" t="s">
        <v>16</v>
      </c>
      <c r="H3" s="31" t="s">
        <v>9</v>
      </c>
      <c r="I3" s="31" t="s">
        <v>33</v>
      </c>
      <c r="J3" s="31" t="s">
        <v>5</v>
      </c>
      <c r="K3" s="31" t="s">
        <v>0</v>
      </c>
      <c r="L3" s="31" t="s">
        <v>13</v>
      </c>
      <c r="M3" s="31" t="s">
        <v>8</v>
      </c>
      <c r="N3" s="31" t="s">
        <v>3</v>
      </c>
      <c r="O3" s="31" t="s">
        <v>4</v>
      </c>
      <c r="P3" s="31" t="s">
        <v>17</v>
      </c>
      <c r="Q3" s="32" t="s">
        <v>18</v>
      </c>
      <c r="R3" s="31" t="s">
        <v>49</v>
      </c>
      <c r="S3" s="31" t="s">
        <v>1</v>
      </c>
      <c r="T3" s="31" t="s">
        <v>11</v>
      </c>
      <c r="U3" s="31" t="s">
        <v>37</v>
      </c>
      <c r="V3" s="31" t="s">
        <v>6</v>
      </c>
      <c r="W3" s="31" t="s">
        <v>38</v>
      </c>
      <c r="X3" s="31" t="s">
        <v>54</v>
      </c>
      <c r="Y3" s="31" t="s">
        <v>56</v>
      </c>
    </row>
    <row r="4" spans="1:25" s="4" customFormat="1" ht="18" customHeight="1" x14ac:dyDescent="0.25">
      <c r="A4" s="33"/>
      <c r="B4" s="7"/>
      <c r="C4" s="7"/>
      <c r="D4" s="8"/>
      <c r="E4" s="8"/>
      <c r="F4" s="8"/>
      <c r="G4" s="8"/>
      <c r="H4" s="8"/>
      <c r="I4" s="6" t="s">
        <v>51</v>
      </c>
      <c r="J4" s="8"/>
      <c r="K4" s="8"/>
      <c r="L4" s="8"/>
      <c r="M4" s="8"/>
      <c r="N4" s="20" t="s">
        <v>50</v>
      </c>
      <c r="O4" s="21"/>
      <c r="P4" s="21"/>
      <c r="Q4" s="21"/>
      <c r="R4" s="21"/>
      <c r="S4" s="21"/>
      <c r="T4" s="22"/>
      <c r="U4" s="17" t="s">
        <v>52</v>
      </c>
      <c r="V4" s="18"/>
      <c r="W4" s="19"/>
      <c r="X4" s="12" t="s">
        <v>55</v>
      </c>
      <c r="Y4" s="13" t="s">
        <v>55</v>
      </c>
    </row>
    <row r="5" spans="1:25" x14ac:dyDescent="0.25">
      <c r="A5" s="45" t="s">
        <v>107</v>
      </c>
      <c r="B5" s="9" t="s">
        <v>19</v>
      </c>
      <c r="C5" s="10" t="s">
        <v>29</v>
      </c>
      <c r="D5" s="10" t="s">
        <v>12</v>
      </c>
      <c r="E5" s="10" t="s">
        <v>22</v>
      </c>
      <c r="F5" s="10" t="s">
        <v>23</v>
      </c>
      <c r="G5" s="10">
        <v>1</v>
      </c>
      <c r="H5" s="10" t="s">
        <v>24</v>
      </c>
      <c r="I5" s="10" t="s">
        <v>34</v>
      </c>
      <c r="J5" s="10" t="s">
        <v>25</v>
      </c>
      <c r="K5" s="10">
        <v>15263</v>
      </c>
      <c r="L5" s="10" t="s">
        <v>2</v>
      </c>
      <c r="M5" s="10">
        <v>84956648</v>
      </c>
      <c r="N5" s="10">
        <v>5008495677</v>
      </c>
      <c r="O5" s="10" t="s">
        <v>26</v>
      </c>
      <c r="P5" s="10">
        <v>345</v>
      </c>
      <c r="Q5" s="11">
        <v>3535353535</v>
      </c>
      <c r="R5" s="10" t="s">
        <v>27</v>
      </c>
      <c r="S5" s="10">
        <v>3.54</v>
      </c>
      <c r="T5" s="10">
        <f>K5*S5</f>
        <v>54031.020000000004</v>
      </c>
      <c r="U5" s="10">
        <v>464</v>
      </c>
      <c r="V5" s="10" t="s">
        <v>46</v>
      </c>
      <c r="W5" s="10">
        <v>4676868</v>
      </c>
      <c r="X5" s="10">
        <v>0</v>
      </c>
      <c r="Y5" s="10">
        <v>65487</v>
      </c>
    </row>
    <row r="6" spans="1:25" x14ac:dyDescent="0.25">
      <c r="A6" s="45"/>
      <c r="B6" s="3" t="s">
        <v>28</v>
      </c>
      <c r="C6" s="2" t="s">
        <v>29</v>
      </c>
      <c r="D6" s="2" t="s">
        <v>12</v>
      </c>
      <c r="E6" s="2" t="s">
        <v>30</v>
      </c>
      <c r="F6" s="2" t="s">
        <v>31</v>
      </c>
      <c r="G6" s="2"/>
      <c r="H6" s="2" t="s">
        <v>32</v>
      </c>
      <c r="I6" s="2">
        <v>69854</v>
      </c>
      <c r="J6" s="2" t="s">
        <v>36</v>
      </c>
      <c r="K6" s="2">
        <v>4850</v>
      </c>
      <c r="L6" s="2" t="s">
        <v>2</v>
      </c>
      <c r="M6" s="2">
        <v>8985654</v>
      </c>
      <c r="N6" s="2">
        <v>5008495677</v>
      </c>
      <c r="O6" s="2" t="s">
        <v>26</v>
      </c>
      <c r="P6" s="2">
        <v>2368</v>
      </c>
      <c r="Q6" s="5">
        <v>3535353535</v>
      </c>
      <c r="R6" s="2" t="s">
        <v>44</v>
      </c>
      <c r="S6" s="2">
        <v>3.52</v>
      </c>
      <c r="T6" s="2">
        <f>K6*S6</f>
        <v>17072</v>
      </c>
      <c r="U6" s="2">
        <v>465</v>
      </c>
      <c r="V6" s="2" t="s">
        <v>46</v>
      </c>
      <c r="W6" s="2">
        <v>4676868</v>
      </c>
      <c r="X6" s="2">
        <v>0</v>
      </c>
      <c r="Y6" s="2">
        <v>0</v>
      </c>
    </row>
    <row r="7" spans="1:25" x14ac:dyDescent="0.25">
      <c r="A7" s="45"/>
      <c r="B7" s="3" t="s">
        <v>47</v>
      </c>
      <c r="C7" s="2" t="s">
        <v>29</v>
      </c>
      <c r="D7" s="2" t="s">
        <v>12</v>
      </c>
      <c r="E7" s="2" t="s">
        <v>39</v>
      </c>
      <c r="F7" s="2" t="s">
        <v>40</v>
      </c>
      <c r="G7" s="2"/>
      <c r="H7" s="2" t="s">
        <v>41</v>
      </c>
      <c r="I7" s="2" t="s">
        <v>42</v>
      </c>
      <c r="J7" s="2" t="s">
        <v>43</v>
      </c>
      <c r="K7" s="2">
        <v>7584</v>
      </c>
      <c r="L7" s="2" t="s">
        <v>2</v>
      </c>
      <c r="M7" s="2">
        <v>46464656</v>
      </c>
      <c r="N7" s="2">
        <v>5008495677</v>
      </c>
      <c r="O7" s="2" t="s">
        <v>26</v>
      </c>
      <c r="P7" s="2">
        <v>1254</v>
      </c>
      <c r="Q7" s="5">
        <v>3535353535</v>
      </c>
      <c r="R7" s="2" t="s">
        <v>45</v>
      </c>
      <c r="S7" s="2">
        <v>3.99</v>
      </c>
      <c r="T7" s="2">
        <f>K7*S7</f>
        <v>30260.16</v>
      </c>
      <c r="U7" s="2">
        <v>466</v>
      </c>
      <c r="V7" s="2" t="s">
        <v>46</v>
      </c>
      <c r="W7" s="2">
        <v>4676868</v>
      </c>
      <c r="X7" s="2">
        <v>0</v>
      </c>
      <c r="Y7" s="2">
        <v>0</v>
      </c>
    </row>
    <row r="8" spans="1:25" x14ac:dyDescent="0.25">
      <c r="A8" s="46" t="s">
        <v>108</v>
      </c>
      <c r="B8" s="3" t="s">
        <v>48</v>
      </c>
      <c r="C8" s="2" t="s">
        <v>7</v>
      </c>
      <c r="D8" s="2" t="s">
        <v>12</v>
      </c>
      <c r="E8" s="2" t="s">
        <v>22</v>
      </c>
      <c r="F8" s="2"/>
      <c r="G8" s="2"/>
      <c r="H8" s="2"/>
      <c r="I8" s="2"/>
      <c r="J8" s="2" t="s">
        <v>25</v>
      </c>
      <c r="K8" s="2">
        <v>100</v>
      </c>
      <c r="L8" s="2" t="s">
        <v>10</v>
      </c>
      <c r="M8" s="2">
        <v>46464656</v>
      </c>
      <c r="N8" s="2">
        <v>0</v>
      </c>
      <c r="O8" s="2"/>
      <c r="P8" s="2">
        <v>0</v>
      </c>
      <c r="Q8" s="5">
        <v>0</v>
      </c>
      <c r="R8" s="2"/>
      <c r="S8" s="2">
        <v>0</v>
      </c>
      <c r="T8" s="2">
        <v>0</v>
      </c>
      <c r="U8" s="2">
        <v>9548</v>
      </c>
      <c r="V8" s="2"/>
      <c r="W8" s="2">
        <v>0</v>
      </c>
      <c r="X8" s="2">
        <v>0</v>
      </c>
      <c r="Y8" s="2">
        <v>0</v>
      </c>
    </row>
  </sheetData>
  <mergeCells count="3">
    <mergeCell ref="N4:T4"/>
    <mergeCell ref="U4:W4"/>
    <mergeCell ref="A5:A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Views>
    <sheetView workbookViewId="0"/>
  </sheetViews>
  <sheetFormatPr baseColWidth="10" defaultColWidth="19.28515625" defaultRowHeight="15" x14ac:dyDescent="0.25"/>
  <cols>
    <col min="1" max="1" width="19.28515625" style="16"/>
    <col min="2" max="2" width="19.28515625" style="15"/>
    <col min="3" max="4" width="24.42578125" style="15" customWidth="1"/>
    <col min="5" max="16384" width="19.28515625" style="15"/>
  </cols>
  <sheetData>
    <row r="1" spans="1:24" x14ac:dyDescent="0.25">
      <c r="A1" s="34">
        <v>0</v>
      </c>
      <c r="B1" s="35">
        <v>1</v>
      </c>
      <c r="C1" s="36">
        <v>2</v>
      </c>
      <c r="D1" s="35">
        <v>3</v>
      </c>
      <c r="E1" s="36">
        <v>4</v>
      </c>
      <c r="F1" s="35">
        <v>5</v>
      </c>
      <c r="G1" s="36">
        <v>6</v>
      </c>
      <c r="H1" s="35">
        <v>7</v>
      </c>
      <c r="I1" s="36">
        <v>8</v>
      </c>
      <c r="J1" s="35">
        <v>9</v>
      </c>
      <c r="K1" s="36">
        <v>10</v>
      </c>
      <c r="L1" s="35">
        <v>11</v>
      </c>
      <c r="M1" s="36">
        <v>12</v>
      </c>
      <c r="N1" s="35">
        <v>13</v>
      </c>
      <c r="O1" s="36">
        <v>14</v>
      </c>
      <c r="P1" s="35">
        <v>15</v>
      </c>
      <c r="Q1" s="36">
        <v>16</v>
      </c>
      <c r="R1" s="35">
        <v>17</v>
      </c>
      <c r="S1" s="36">
        <v>18</v>
      </c>
      <c r="T1" s="35">
        <v>19</v>
      </c>
      <c r="U1" s="36">
        <v>20</v>
      </c>
      <c r="V1" s="35">
        <v>21</v>
      </c>
      <c r="W1" s="36">
        <v>22</v>
      </c>
      <c r="X1" s="35">
        <v>23</v>
      </c>
    </row>
    <row r="2" spans="1:24" ht="75" x14ac:dyDescent="0.25">
      <c r="A2" s="37" t="s">
        <v>15</v>
      </c>
      <c r="B2" s="37" t="s">
        <v>35</v>
      </c>
      <c r="C2" s="38" t="s">
        <v>109</v>
      </c>
      <c r="D2" s="38" t="s">
        <v>21</v>
      </c>
      <c r="E2" s="38" t="s">
        <v>53</v>
      </c>
      <c r="F2" s="38" t="s">
        <v>16</v>
      </c>
      <c r="G2" s="38" t="s">
        <v>9</v>
      </c>
      <c r="H2" s="38" t="s">
        <v>33</v>
      </c>
      <c r="I2" s="38" t="s">
        <v>5</v>
      </c>
      <c r="J2" s="38" t="s">
        <v>0</v>
      </c>
      <c r="K2" s="38" t="s">
        <v>13</v>
      </c>
      <c r="L2" s="38" t="s">
        <v>8</v>
      </c>
      <c r="M2" s="38" t="s">
        <v>3</v>
      </c>
      <c r="N2" s="38" t="s">
        <v>4</v>
      </c>
      <c r="O2" s="38" t="s">
        <v>17</v>
      </c>
      <c r="P2" s="39" t="s">
        <v>18</v>
      </c>
      <c r="Q2" s="38" t="s">
        <v>49</v>
      </c>
      <c r="R2" s="38" t="s">
        <v>1</v>
      </c>
      <c r="S2" s="38" t="s">
        <v>11</v>
      </c>
      <c r="T2" s="38" t="s">
        <v>37</v>
      </c>
      <c r="U2" s="38" t="s">
        <v>6</v>
      </c>
      <c r="V2" s="38" t="s">
        <v>38</v>
      </c>
      <c r="W2" s="38" t="s">
        <v>54</v>
      </c>
      <c r="X2" s="38" t="s">
        <v>56</v>
      </c>
    </row>
    <row r="3" spans="1:24" x14ac:dyDescent="0.25">
      <c r="A3" s="40" t="s">
        <v>57</v>
      </c>
      <c r="B3" s="41" t="s">
        <v>7</v>
      </c>
      <c r="C3" s="41" t="s">
        <v>7</v>
      </c>
      <c r="D3" s="41" t="s">
        <v>7</v>
      </c>
      <c r="E3" s="41" t="s">
        <v>65</v>
      </c>
      <c r="F3" s="41"/>
      <c r="G3" s="41" t="s">
        <v>96</v>
      </c>
      <c r="H3" s="41">
        <v>234</v>
      </c>
      <c r="I3" s="41" t="s">
        <v>25</v>
      </c>
      <c r="J3" s="41">
        <v>12000</v>
      </c>
      <c r="K3" s="41" t="s">
        <v>2</v>
      </c>
      <c r="L3" s="41" t="s">
        <v>89</v>
      </c>
      <c r="M3" s="41">
        <v>15849675548</v>
      </c>
      <c r="N3" s="41" t="s">
        <v>26</v>
      </c>
      <c r="O3" s="41">
        <v>10429</v>
      </c>
      <c r="P3" s="42">
        <v>258401600000441</v>
      </c>
      <c r="Q3" s="42" t="s">
        <v>93</v>
      </c>
      <c r="R3" s="41">
        <v>3.52</v>
      </c>
      <c r="S3" s="41">
        <v>42240</v>
      </c>
      <c r="T3" s="41">
        <v>102190</v>
      </c>
      <c r="U3" s="41" t="s">
        <v>94</v>
      </c>
      <c r="V3" s="41">
        <v>342354545</v>
      </c>
      <c r="W3" s="41">
        <v>1001</v>
      </c>
      <c r="X3" s="41">
        <v>0</v>
      </c>
    </row>
    <row r="4" spans="1:24" x14ac:dyDescent="0.25">
      <c r="A4" s="40" t="s">
        <v>57</v>
      </c>
      <c r="B4" s="41" t="s">
        <v>7</v>
      </c>
      <c r="C4" s="41" t="s">
        <v>7</v>
      </c>
      <c r="D4" s="41" t="s">
        <v>7</v>
      </c>
      <c r="E4" s="41" t="s">
        <v>66</v>
      </c>
      <c r="F4" s="41"/>
      <c r="G4" s="41" t="s">
        <v>96</v>
      </c>
      <c r="H4" s="41"/>
      <c r="I4" s="41" t="s">
        <v>36</v>
      </c>
      <c r="J4" s="41">
        <v>8000</v>
      </c>
      <c r="K4" s="41" t="s">
        <v>2</v>
      </c>
      <c r="L4" s="41" t="s">
        <v>89</v>
      </c>
      <c r="M4" s="41">
        <v>15849675548</v>
      </c>
      <c r="N4" s="41" t="s">
        <v>26</v>
      </c>
      <c r="O4" s="41">
        <v>10426</v>
      </c>
      <c r="P4" s="42">
        <v>258401600000441</v>
      </c>
      <c r="Q4" s="42" t="s">
        <v>93</v>
      </c>
      <c r="R4" s="41">
        <v>3.54</v>
      </c>
      <c r="S4" s="41">
        <v>28320</v>
      </c>
      <c r="T4" s="41">
        <v>102197</v>
      </c>
      <c r="U4" s="41" t="s">
        <v>94</v>
      </c>
      <c r="V4" s="41">
        <v>342354545</v>
      </c>
      <c r="W4" s="41">
        <v>1002</v>
      </c>
      <c r="X4" s="41">
        <v>0</v>
      </c>
    </row>
    <row r="5" spans="1:24" x14ac:dyDescent="0.25">
      <c r="A5" s="40" t="s">
        <v>58</v>
      </c>
      <c r="B5" s="41" t="s">
        <v>7</v>
      </c>
      <c r="C5" s="41" t="s">
        <v>7</v>
      </c>
      <c r="D5" s="41" t="s">
        <v>7</v>
      </c>
      <c r="E5" s="41" t="s">
        <v>67</v>
      </c>
      <c r="F5" s="41"/>
      <c r="G5" s="41" t="s">
        <v>96</v>
      </c>
      <c r="H5" s="41"/>
      <c r="I5" s="41" t="s">
        <v>25</v>
      </c>
      <c r="J5" s="41">
        <v>12000</v>
      </c>
      <c r="K5" s="41" t="s">
        <v>2</v>
      </c>
      <c r="L5" s="41" t="s">
        <v>90</v>
      </c>
      <c r="M5" s="41">
        <v>15849675548</v>
      </c>
      <c r="N5" s="41" t="s">
        <v>26</v>
      </c>
      <c r="O5" s="41">
        <v>10613</v>
      </c>
      <c r="P5" s="42">
        <v>258401600000441</v>
      </c>
      <c r="Q5" s="42" t="s">
        <v>93</v>
      </c>
      <c r="R5" s="41">
        <v>3.52</v>
      </c>
      <c r="S5" s="41">
        <v>42240</v>
      </c>
      <c r="T5" s="41">
        <v>104159</v>
      </c>
      <c r="U5" s="41" t="s">
        <v>94</v>
      </c>
      <c r="V5" s="41">
        <v>342354545</v>
      </c>
      <c r="W5" s="41">
        <v>1003</v>
      </c>
      <c r="X5" s="41">
        <v>0</v>
      </c>
    </row>
    <row r="6" spans="1:24" x14ac:dyDescent="0.25">
      <c r="A6" s="40" t="s">
        <v>58</v>
      </c>
      <c r="B6" s="41" t="s">
        <v>7</v>
      </c>
      <c r="C6" s="41" t="s">
        <v>7</v>
      </c>
      <c r="D6" s="41" t="s">
        <v>7</v>
      </c>
      <c r="E6" s="41" t="s">
        <v>68</v>
      </c>
      <c r="F6" s="41"/>
      <c r="G6" s="41" t="s">
        <v>96</v>
      </c>
      <c r="H6" s="41"/>
      <c r="I6" s="41" t="s">
        <v>25</v>
      </c>
      <c r="J6" s="41">
        <v>24000</v>
      </c>
      <c r="K6" s="41" t="s">
        <v>2</v>
      </c>
      <c r="L6" s="41" t="s">
        <v>90</v>
      </c>
      <c r="M6" s="41">
        <v>15849675548</v>
      </c>
      <c r="N6" s="41" t="s">
        <v>26</v>
      </c>
      <c r="O6" s="41">
        <v>10428</v>
      </c>
      <c r="P6" s="42">
        <v>258401600000441</v>
      </c>
      <c r="Q6" s="42" t="s">
        <v>93</v>
      </c>
      <c r="R6" s="41">
        <v>3.52</v>
      </c>
      <c r="S6" s="41">
        <v>84480</v>
      </c>
      <c r="T6" s="41">
        <v>104160</v>
      </c>
      <c r="U6" s="41" t="s">
        <v>94</v>
      </c>
      <c r="V6" s="41">
        <v>342354545</v>
      </c>
      <c r="W6" s="41">
        <v>1004</v>
      </c>
      <c r="X6" s="41">
        <v>0</v>
      </c>
    </row>
    <row r="7" spans="1:24" x14ac:dyDescent="0.25">
      <c r="A7" s="40" t="s">
        <v>58</v>
      </c>
      <c r="B7" s="41" t="s">
        <v>7</v>
      </c>
      <c r="C7" s="41" t="s">
        <v>7</v>
      </c>
      <c r="D7" s="41" t="s">
        <v>7</v>
      </c>
      <c r="E7" s="41" t="s">
        <v>69</v>
      </c>
      <c r="F7" s="41"/>
      <c r="G7" s="41" t="s">
        <v>96</v>
      </c>
      <c r="H7" s="41" t="s">
        <v>97</v>
      </c>
      <c r="I7" s="41" t="s">
        <v>36</v>
      </c>
      <c r="J7" s="41">
        <v>8000</v>
      </c>
      <c r="K7" s="41" t="s">
        <v>2</v>
      </c>
      <c r="L7" s="41" t="s">
        <v>90</v>
      </c>
      <c r="M7" s="41">
        <v>15849675548</v>
      </c>
      <c r="N7" s="41" t="s">
        <v>26</v>
      </c>
      <c r="O7" s="41">
        <v>10614</v>
      </c>
      <c r="P7" s="42">
        <v>258401600000441</v>
      </c>
      <c r="Q7" s="42" t="s">
        <v>93</v>
      </c>
      <c r="R7" s="41">
        <v>3.54</v>
      </c>
      <c r="S7" s="41">
        <v>28320</v>
      </c>
      <c r="T7" s="41">
        <v>104161</v>
      </c>
      <c r="U7" s="41" t="s">
        <v>94</v>
      </c>
      <c r="V7" s="41">
        <v>342354545</v>
      </c>
      <c r="W7" s="41">
        <v>1005</v>
      </c>
      <c r="X7" s="41">
        <v>0</v>
      </c>
    </row>
    <row r="8" spans="1:24" x14ac:dyDescent="0.25">
      <c r="A8" s="40" t="s">
        <v>59</v>
      </c>
      <c r="B8" s="41" t="s">
        <v>7</v>
      </c>
      <c r="C8" s="41" t="s">
        <v>7</v>
      </c>
      <c r="D8" s="41" t="s">
        <v>7</v>
      </c>
      <c r="E8" s="41" t="s">
        <v>70</v>
      </c>
      <c r="F8" s="41"/>
      <c r="G8" s="41" t="s">
        <v>96</v>
      </c>
      <c r="H8" s="41"/>
      <c r="I8" s="41" t="s">
        <v>25</v>
      </c>
      <c r="J8" s="41">
        <v>24000</v>
      </c>
      <c r="K8" s="41" t="s">
        <v>2</v>
      </c>
      <c r="L8" s="41" t="s">
        <v>91</v>
      </c>
      <c r="M8" s="41">
        <v>15849675548</v>
      </c>
      <c r="N8" s="41" t="s">
        <v>26</v>
      </c>
      <c r="O8" s="41">
        <v>10612</v>
      </c>
      <c r="P8" s="42">
        <v>258401600000441</v>
      </c>
      <c r="Q8" s="42" t="s">
        <v>93</v>
      </c>
      <c r="R8" s="41">
        <v>3.52</v>
      </c>
      <c r="S8" s="41">
        <v>84480</v>
      </c>
      <c r="T8" s="41">
        <v>105077</v>
      </c>
      <c r="U8" s="41" t="s">
        <v>94</v>
      </c>
      <c r="V8" s="41">
        <v>342354545</v>
      </c>
      <c r="W8" s="41">
        <v>1006</v>
      </c>
      <c r="X8" s="41">
        <v>0</v>
      </c>
    </row>
    <row r="9" spans="1:24" x14ac:dyDescent="0.25">
      <c r="A9" s="40" t="s">
        <v>60</v>
      </c>
      <c r="B9" s="41" t="s">
        <v>7</v>
      </c>
      <c r="C9" s="41" t="s">
        <v>7</v>
      </c>
      <c r="D9" s="41" t="s">
        <v>7</v>
      </c>
      <c r="E9" s="41" t="s">
        <v>71</v>
      </c>
      <c r="F9" s="41"/>
      <c r="G9" s="41" t="s">
        <v>96</v>
      </c>
      <c r="H9" s="41"/>
      <c r="I9" s="41" t="s">
        <v>25</v>
      </c>
      <c r="J9" s="41">
        <v>12000</v>
      </c>
      <c r="K9" s="41" t="s">
        <v>2</v>
      </c>
      <c r="L9" s="41" t="s">
        <v>89</v>
      </c>
      <c r="M9" s="41">
        <v>15849675548</v>
      </c>
      <c r="N9" s="41" t="s">
        <v>26</v>
      </c>
      <c r="O9" s="41">
        <v>10749</v>
      </c>
      <c r="P9" s="42">
        <v>258401600000441</v>
      </c>
      <c r="Q9" s="42" t="s">
        <v>93</v>
      </c>
      <c r="R9" s="41">
        <v>3.52</v>
      </c>
      <c r="S9" s="41">
        <v>42240</v>
      </c>
      <c r="T9" s="41">
        <v>105790</v>
      </c>
      <c r="U9" s="41" t="s">
        <v>94</v>
      </c>
      <c r="V9" s="41">
        <v>342354545</v>
      </c>
      <c r="W9" s="41">
        <v>1007</v>
      </c>
      <c r="X9" s="41">
        <v>0</v>
      </c>
    </row>
    <row r="10" spans="1:24" x14ac:dyDescent="0.25">
      <c r="A10" s="40" t="s">
        <v>60</v>
      </c>
      <c r="B10" s="41" t="s">
        <v>7</v>
      </c>
      <c r="C10" s="41" t="s">
        <v>7</v>
      </c>
      <c r="D10" s="41" t="s">
        <v>7</v>
      </c>
      <c r="E10" s="41" t="s">
        <v>72</v>
      </c>
      <c r="F10" s="41"/>
      <c r="G10" s="41" t="s">
        <v>96</v>
      </c>
      <c r="H10" s="41"/>
      <c r="I10" s="41" t="s">
        <v>25</v>
      </c>
      <c r="J10" s="41">
        <v>24000</v>
      </c>
      <c r="K10" s="41" t="s">
        <v>2</v>
      </c>
      <c r="L10" s="41" t="s">
        <v>92</v>
      </c>
      <c r="M10" s="41">
        <v>15849675548</v>
      </c>
      <c r="N10" s="41" t="s">
        <v>26</v>
      </c>
      <c r="O10" s="41">
        <v>10748</v>
      </c>
      <c r="P10" s="42">
        <v>258401600000441</v>
      </c>
      <c r="Q10" s="42" t="s">
        <v>93</v>
      </c>
      <c r="R10" s="41">
        <v>3.52</v>
      </c>
      <c r="S10" s="41">
        <v>84480</v>
      </c>
      <c r="T10" s="41">
        <v>106215</v>
      </c>
      <c r="U10" s="41" t="s">
        <v>94</v>
      </c>
      <c r="V10" s="41">
        <v>342354545</v>
      </c>
      <c r="W10" s="41">
        <v>1008</v>
      </c>
      <c r="X10" s="41">
        <v>0</v>
      </c>
    </row>
    <row r="11" spans="1:24" x14ac:dyDescent="0.25">
      <c r="A11" s="40" t="s">
        <v>60</v>
      </c>
      <c r="B11" s="41" t="s">
        <v>7</v>
      </c>
      <c r="C11" s="41" t="s">
        <v>7</v>
      </c>
      <c r="D11" s="41" t="s">
        <v>7</v>
      </c>
      <c r="E11" s="41" t="s">
        <v>73</v>
      </c>
      <c r="F11" s="41"/>
      <c r="G11" s="41" t="s">
        <v>96</v>
      </c>
      <c r="H11" s="41"/>
      <c r="I11" s="41" t="s">
        <v>36</v>
      </c>
      <c r="J11" s="41">
        <v>8000</v>
      </c>
      <c r="K11" s="41" t="s">
        <v>2</v>
      </c>
      <c r="L11" s="41" t="s">
        <v>92</v>
      </c>
      <c r="M11" s="41">
        <v>15849675548</v>
      </c>
      <c r="N11" s="41" t="s">
        <v>26</v>
      </c>
      <c r="O11" s="41">
        <v>10751</v>
      </c>
      <c r="P11" s="42">
        <v>258401600000441</v>
      </c>
      <c r="Q11" s="42" t="s">
        <v>93</v>
      </c>
      <c r="R11" s="41">
        <v>3.54</v>
      </c>
      <c r="S11" s="41">
        <v>28320</v>
      </c>
      <c r="T11" s="41">
        <v>106222</v>
      </c>
      <c r="U11" s="41" t="s">
        <v>94</v>
      </c>
      <c r="V11" s="41">
        <v>342354545</v>
      </c>
      <c r="W11" s="41">
        <v>1009</v>
      </c>
      <c r="X11" s="41">
        <v>0</v>
      </c>
    </row>
    <row r="12" spans="1:24" x14ac:dyDescent="0.25">
      <c r="A12" s="40" t="s">
        <v>61</v>
      </c>
      <c r="B12" s="41" t="s">
        <v>7</v>
      </c>
      <c r="C12" s="41" t="s">
        <v>7</v>
      </c>
      <c r="D12" s="41" t="s">
        <v>7</v>
      </c>
      <c r="E12" s="41" t="s">
        <v>74</v>
      </c>
      <c r="F12" s="41"/>
      <c r="G12" s="41" t="s">
        <v>96</v>
      </c>
      <c r="H12" s="41"/>
      <c r="I12" s="41" t="s">
        <v>25</v>
      </c>
      <c r="J12" s="41">
        <v>12000</v>
      </c>
      <c r="K12" s="41" t="s">
        <v>2</v>
      </c>
      <c r="L12" s="41" t="s">
        <v>89</v>
      </c>
      <c r="M12" s="41">
        <v>15849675548</v>
      </c>
      <c r="N12" s="41" t="s">
        <v>26</v>
      </c>
      <c r="O12" s="41">
        <v>11000</v>
      </c>
      <c r="P12" s="42">
        <v>258401600000441</v>
      </c>
      <c r="Q12" s="42" t="s">
        <v>93</v>
      </c>
      <c r="R12" s="41">
        <v>3.52</v>
      </c>
      <c r="S12" s="41">
        <v>42240</v>
      </c>
      <c r="T12" s="41">
        <v>107960</v>
      </c>
      <c r="U12" s="41" t="s">
        <v>94</v>
      </c>
      <c r="V12" s="41">
        <v>342354545</v>
      </c>
      <c r="W12" s="41">
        <v>1010</v>
      </c>
      <c r="X12" s="41">
        <v>0</v>
      </c>
    </row>
    <row r="13" spans="1:24" x14ac:dyDescent="0.25">
      <c r="A13" s="40" t="s">
        <v>61</v>
      </c>
      <c r="B13" s="41" t="s">
        <v>7</v>
      </c>
      <c r="C13" s="41" t="s">
        <v>7</v>
      </c>
      <c r="D13" s="41" t="s">
        <v>7</v>
      </c>
      <c r="E13" s="41" t="s">
        <v>75</v>
      </c>
      <c r="F13" s="41"/>
      <c r="G13" s="41" t="s">
        <v>96</v>
      </c>
      <c r="H13" s="41"/>
      <c r="I13" s="41" t="s">
        <v>36</v>
      </c>
      <c r="J13" s="41">
        <v>4000</v>
      </c>
      <c r="K13" s="41" t="s">
        <v>2</v>
      </c>
      <c r="L13" s="41" t="s">
        <v>89</v>
      </c>
      <c r="M13" s="41">
        <v>15849675548</v>
      </c>
      <c r="N13" s="41" t="s">
        <v>26</v>
      </c>
      <c r="O13" s="41">
        <v>10999</v>
      </c>
      <c r="P13" s="42">
        <v>258401600000441</v>
      </c>
      <c r="Q13" s="42" t="s">
        <v>93</v>
      </c>
      <c r="R13" s="41">
        <v>3.54</v>
      </c>
      <c r="S13" s="41">
        <v>14160</v>
      </c>
      <c r="T13" s="41">
        <v>107961</v>
      </c>
      <c r="U13" s="41" t="s">
        <v>94</v>
      </c>
      <c r="V13" s="41">
        <v>342354545</v>
      </c>
      <c r="W13" s="41">
        <v>1011</v>
      </c>
      <c r="X13" s="41">
        <v>0</v>
      </c>
    </row>
    <row r="14" spans="1:24" x14ac:dyDescent="0.25">
      <c r="A14" s="43">
        <v>42465</v>
      </c>
      <c r="B14" s="41" t="s">
        <v>7</v>
      </c>
      <c r="C14" s="41" t="s">
        <v>7</v>
      </c>
      <c r="D14" s="41" t="s">
        <v>7</v>
      </c>
      <c r="E14" s="41" t="s">
        <v>76</v>
      </c>
      <c r="F14" s="41"/>
      <c r="G14" s="41" t="s">
        <v>96</v>
      </c>
      <c r="H14" s="41"/>
      <c r="I14" s="41" t="s">
        <v>25</v>
      </c>
      <c r="J14" s="41">
        <v>24000</v>
      </c>
      <c r="K14" s="41" t="s">
        <v>2</v>
      </c>
      <c r="L14" s="41" t="s">
        <v>89</v>
      </c>
      <c r="M14" s="41">
        <v>15849675548</v>
      </c>
      <c r="N14" s="41" t="s">
        <v>26</v>
      </c>
      <c r="O14" s="41">
        <v>11564</v>
      </c>
      <c r="P14" s="42">
        <v>258401600000441</v>
      </c>
      <c r="Q14" s="42" t="s">
        <v>93</v>
      </c>
      <c r="R14" s="41">
        <v>3.52</v>
      </c>
      <c r="S14" s="41">
        <v>84480</v>
      </c>
      <c r="T14" s="41">
        <v>111884</v>
      </c>
      <c r="U14" s="41" t="s">
        <v>94</v>
      </c>
      <c r="V14" s="41">
        <v>342354545</v>
      </c>
      <c r="W14" s="41">
        <v>1012</v>
      </c>
      <c r="X14" s="41">
        <v>0</v>
      </c>
    </row>
    <row r="15" spans="1:24" x14ac:dyDescent="0.25">
      <c r="A15" s="40" t="s">
        <v>62</v>
      </c>
      <c r="B15" s="41" t="s">
        <v>7</v>
      </c>
      <c r="C15" s="41" t="s">
        <v>7</v>
      </c>
      <c r="D15" s="41" t="s">
        <v>7</v>
      </c>
      <c r="E15" s="41" t="s">
        <v>77</v>
      </c>
      <c r="F15" s="41"/>
      <c r="G15" s="41" t="s">
        <v>96</v>
      </c>
      <c r="H15" s="41"/>
      <c r="I15" s="41" t="s">
        <v>25</v>
      </c>
      <c r="J15" s="41">
        <v>12000</v>
      </c>
      <c r="K15" s="41" t="s">
        <v>2</v>
      </c>
      <c r="L15" s="41" t="s">
        <v>89</v>
      </c>
      <c r="M15" s="41">
        <v>15849675548</v>
      </c>
      <c r="N15" s="41" t="s">
        <v>26</v>
      </c>
      <c r="O15" s="41">
        <v>11763</v>
      </c>
      <c r="P15" s="42">
        <v>258401600000441</v>
      </c>
      <c r="Q15" s="42" t="s">
        <v>93</v>
      </c>
      <c r="R15" s="41">
        <v>3.52</v>
      </c>
      <c r="S15" s="41">
        <v>42240</v>
      </c>
      <c r="T15" s="41">
        <v>112465</v>
      </c>
      <c r="U15" s="41" t="s">
        <v>94</v>
      </c>
      <c r="V15" s="41">
        <v>342354545</v>
      </c>
      <c r="W15" s="41">
        <v>1013</v>
      </c>
      <c r="X15" s="41">
        <v>0</v>
      </c>
    </row>
    <row r="16" spans="1:24" x14ac:dyDescent="0.25">
      <c r="A16" s="40" t="s">
        <v>62</v>
      </c>
      <c r="B16" s="41" t="s">
        <v>7</v>
      </c>
      <c r="C16" s="41" t="s">
        <v>7</v>
      </c>
      <c r="D16" s="41" t="s">
        <v>7</v>
      </c>
      <c r="E16" s="41" t="s">
        <v>78</v>
      </c>
      <c r="F16" s="41"/>
      <c r="G16" s="41" t="s">
        <v>96</v>
      </c>
      <c r="H16" s="41">
        <v>242</v>
      </c>
      <c r="I16" s="41" t="s">
        <v>36</v>
      </c>
      <c r="J16" s="41">
        <v>8000</v>
      </c>
      <c r="K16" s="41" t="s">
        <v>2</v>
      </c>
      <c r="L16" s="41" t="s">
        <v>89</v>
      </c>
      <c r="M16" s="41">
        <v>15849675548</v>
      </c>
      <c r="N16" s="41" t="s">
        <v>26</v>
      </c>
      <c r="O16" s="41">
        <v>11765</v>
      </c>
      <c r="P16" s="42">
        <v>258401600000441</v>
      </c>
      <c r="Q16" s="42" t="s">
        <v>93</v>
      </c>
      <c r="R16" s="41">
        <v>3.54</v>
      </c>
      <c r="S16" s="41">
        <v>28320</v>
      </c>
      <c r="T16" s="41">
        <v>112467</v>
      </c>
      <c r="U16" s="41" t="s">
        <v>94</v>
      </c>
      <c r="V16" s="41">
        <v>342354545</v>
      </c>
      <c r="W16" s="41">
        <v>1014</v>
      </c>
      <c r="X16" s="41">
        <v>0</v>
      </c>
    </row>
    <row r="17" spans="1:24" x14ac:dyDescent="0.25">
      <c r="A17" s="43">
        <v>42469</v>
      </c>
      <c r="B17" s="41" t="s">
        <v>7</v>
      </c>
      <c r="C17" s="41" t="s">
        <v>7</v>
      </c>
      <c r="D17" s="41" t="s">
        <v>7</v>
      </c>
      <c r="E17" s="41" t="s">
        <v>79</v>
      </c>
      <c r="F17" s="41"/>
      <c r="G17" s="41" t="s">
        <v>96</v>
      </c>
      <c r="H17" s="41"/>
      <c r="I17" s="41" t="s">
        <v>25</v>
      </c>
      <c r="J17" s="41">
        <v>24000</v>
      </c>
      <c r="K17" s="41" t="s">
        <v>2</v>
      </c>
      <c r="L17" s="41" t="s">
        <v>91</v>
      </c>
      <c r="M17" s="41">
        <v>15849675548</v>
      </c>
      <c r="N17" s="41" t="s">
        <v>26</v>
      </c>
      <c r="O17" s="41">
        <v>11764</v>
      </c>
      <c r="P17" s="42">
        <v>258401600000441</v>
      </c>
      <c r="Q17" s="42" t="s">
        <v>93</v>
      </c>
      <c r="R17" s="41">
        <v>3.52</v>
      </c>
      <c r="S17" s="41">
        <v>84480</v>
      </c>
      <c r="T17" s="41">
        <v>114373</v>
      </c>
      <c r="U17" s="41" t="s">
        <v>95</v>
      </c>
      <c r="V17" s="41">
        <v>0</v>
      </c>
      <c r="W17" s="41">
        <v>1015</v>
      </c>
      <c r="X17" s="41">
        <v>0</v>
      </c>
    </row>
    <row r="18" spans="1:24" x14ac:dyDescent="0.25">
      <c r="A18" s="43">
        <v>42465</v>
      </c>
      <c r="B18" s="41" t="s">
        <v>7</v>
      </c>
      <c r="C18" s="41" t="s">
        <v>7</v>
      </c>
      <c r="D18" s="41" t="s">
        <v>7</v>
      </c>
      <c r="E18" s="41" t="s">
        <v>80</v>
      </c>
      <c r="F18" s="41"/>
      <c r="G18" s="41" t="s">
        <v>96</v>
      </c>
      <c r="H18" s="41"/>
      <c r="I18" s="41" t="s">
        <v>25</v>
      </c>
      <c r="J18" s="41">
        <v>24000</v>
      </c>
      <c r="K18" s="41" t="s">
        <v>2</v>
      </c>
      <c r="L18" s="41" t="s">
        <v>89</v>
      </c>
      <c r="M18" s="41">
        <v>15849675548</v>
      </c>
      <c r="N18" s="41" t="s">
        <v>26</v>
      </c>
      <c r="O18" s="41">
        <v>12310</v>
      </c>
      <c r="P18" s="42">
        <v>258401600000441</v>
      </c>
      <c r="Q18" s="42" t="s">
        <v>93</v>
      </c>
      <c r="R18" s="41">
        <v>3.52</v>
      </c>
      <c r="S18" s="41">
        <v>84480</v>
      </c>
      <c r="T18" s="41">
        <v>118144</v>
      </c>
      <c r="U18" s="41" t="s">
        <v>95</v>
      </c>
      <c r="V18" s="41">
        <v>0</v>
      </c>
      <c r="W18" s="41">
        <v>1016</v>
      </c>
      <c r="X18" s="41">
        <v>0</v>
      </c>
    </row>
    <row r="19" spans="1:24" x14ac:dyDescent="0.25">
      <c r="A19" s="43">
        <v>42465</v>
      </c>
      <c r="B19" s="41" t="s">
        <v>7</v>
      </c>
      <c r="C19" s="41" t="s">
        <v>7</v>
      </c>
      <c r="D19" s="41" t="s">
        <v>7</v>
      </c>
      <c r="E19" s="41" t="s">
        <v>81</v>
      </c>
      <c r="F19" s="41"/>
      <c r="G19" s="41" t="s">
        <v>96</v>
      </c>
      <c r="H19" s="41"/>
      <c r="I19" s="41" t="s">
        <v>25</v>
      </c>
      <c r="J19" s="41">
        <v>12000</v>
      </c>
      <c r="K19" s="41" t="s">
        <v>2</v>
      </c>
      <c r="L19" s="41" t="s">
        <v>89</v>
      </c>
      <c r="M19" s="41">
        <v>15849675548</v>
      </c>
      <c r="N19" s="41" t="s">
        <v>26</v>
      </c>
      <c r="O19" s="41">
        <v>12308</v>
      </c>
      <c r="P19" s="42">
        <v>258401600000441</v>
      </c>
      <c r="Q19" s="42" t="s">
        <v>93</v>
      </c>
      <c r="R19" s="41">
        <v>3.52</v>
      </c>
      <c r="S19" s="41">
        <v>42240</v>
      </c>
      <c r="T19" s="41">
        <v>118152</v>
      </c>
      <c r="U19" s="41" t="s">
        <v>95</v>
      </c>
      <c r="V19" s="41">
        <v>0</v>
      </c>
      <c r="W19" s="41">
        <v>1017</v>
      </c>
      <c r="X19" s="41">
        <v>0</v>
      </c>
    </row>
    <row r="20" spans="1:24" x14ac:dyDescent="0.25">
      <c r="A20" s="40" t="s">
        <v>63</v>
      </c>
      <c r="B20" s="41" t="s">
        <v>7</v>
      </c>
      <c r="C20" s="41" t="s">
        <v>7</v>
      </c>
      <c r="D20" s="41" t="s">
        <v>7</v>
      </c>
      <c r="E20" s="41" t="s">
        <v>82</v>
      </c>
      <c r="F20" s="41"/>
      <c r="G20" s="41" t="s">
        <v>96</v>
      </c>
      <c r="H20" s="41"/>
      <c r="I20" s="41" t="s">
        <v>36</v>
      </c>
      <c r="J20" s="41">
        <v>8000</v>
      </c>
      <c r="K20" s="41" t="s">
        <v>2</v>
      </c>
      <c r="L20" s="41" t="s">
        <v>89</v>
      </c>
      <c r="M20" s="41">
        <v>15849675548</v>
      </c>
      <c r="N20" s="41" t="s">
        <v>26</v>
      </c>
      <c r="O20" s="41">
        <v>12305</v>
      </c>
      <c r="P20" s="42">
        <v>258401600000441</v>
      </c>
      <c r="Q20" s="42" t="s">
        <v>93</v>
      </c>
      <c r="R20" s="41">
        <v>3.54</v>
      </c>
      <c r="S20" s="41">
        <v>28320</v>
      </c>
      <c r="T20" s="41">
        <v>118156</v>
      </c>
      <c r="U20" s="41" t="s">
        <v>95</v>
      </c>
      <c r="V20" s="41">
        <v>0</v>
      </c>
      <c r="W20" s="41">
        <v>1018</v>
      </c>
      <c r="X20" s="41">
        <v>0</v>
      </c>
    </row>
    <row r="21" spans="1:24" x14ac:dyDescent="0.25">
      <c r="A21" s="43">
        <v>42468</v>
      </c>
      <c r="B21" s="41" t="s">
        <v>7</v>
      </c>
      <c r="C21" s="41" t="s">
        <v>7</v>
      </c>
      <c r="D21" s="41" t="s">
        <v>7</v>
      </c>
      <c r="E21" s="41" t="s">
        <v>83</v>
      </c>
      <c r="F21" s="41"/>
      <c r="G21" s="41" t="s">
        <v>96</v>
      </c>
      <c r="H21" s="41"/>
      <c r="I21" s="41" t="s">
        <v>25</v>
      </c>
      <c r="J21" s="41">
        <v>8000</v>
      </c>
      <c r="K21" s="41" t="s">
        <v>2</v>
      </c>
      <c r="L21" s="41" t="s">
        <v>90</v>
      </c>
      <c r="M21" s="41">
        <v>15849675548</v>
      </c>
      <c r="N21" s="41" t="s">
        <v>26</v>
      </c>
      <c r="O21" s="41">
        <v>12510</v>
      </c>
      <c r="P21" s="42">
        <v>258401600000441</v>
      </c>
      <c r="Q21" s="42" t="s">
        <v>93</v>
      </c>
      <c r="R21" s="41">
        <v>3.52</v>
      </c>
      <c r="S21" s="41">
        <v>28160</v>
      </c>
      <c r="T21" s="41">
        <v>119825</v>
      </c>
      <c r="U21" s="41" t="s">
        <v>95</v>
      </c>
      <c r="V21" s="41">
        <v>0</v>
      </c>
      <c r="W21" s="41">
        <v>1019</v>
      </c>
      <c r="X21" s="41">
        <v>0</v>
      </c>
    </row>
    <row r="22" spans="1:24" x14ac:dyDescent="0.25">
      <c r="A22" s="40" t="s">
        <v>64</v>
      </c>
      <c r="B22" s="41" t="s">
        <v>7</v>
      </c>
      <c r="C22" s="41" t="s">
        <v>7</v>
      </c>
      <c r="D22" s="41" t="s">
        <v>7</v>
      </c>
      <c r="E22" s="41" t="s">
        <v>84</v>
      </c>
      <c r="F22" s="41"/>
      <c r="G22" s="41" t="s">
        <v>96</v>
      </c>
      <c r="H22" s="41"/>
      <c r="I22" s="41" t="s">
        <v>36</v>
      </c>
      <c r="J22" s="41">
        <v>8000</v>
      </c>
      <c r="K22" s="41" t="s">
        <v>2</v>
      </c>
      <c r="L22" s="41" t="s">
        <v>90</v>
      </c>
      <c r="M22" s="41">
        <v>15849675548</v>
      </c>
      <c r="N22" s="41" t="s">
        <v>26</v>
      </c>
      <c r="O22" s="41">
        <v>12509</v>
      </c>
      <c r="P22" s="42">
        <v>258401600000441</v>
      </c>
      <c r="Q22" s="42" t="s">
        <v>93</v>
      </c>
      <c r="R22" s="41">
        <v>3.54</v>
      </c>
      <c r="S22" s="41">
        <v>28320</v>
      </c>
      <c r="T22" s="41">
        <v>119829</v>
      </c>
      <c r="U22" s="41" t="s">
        <v>95</v>
      </c>
      <c r="V22" s="41">
        <v>0</v>
      </c>
      <c r="W22" s="41">
        <v>1020</v>
      </c>
      <c r="X22" s="41">
        <v>0</v>
      </c>
    </row>
    <row r="23" spans="1:24" x14ac:dyDescent="0.25">
      <c r="A23" s="43">
        <v>42468</v>
      </c>
      <c r="B23" s="41" t="s">
        <v>7</v>
      </c>
      <c r="C23" s="41" t="s">
        <v>7</v>
      </c>
      <c r="D23" s="41" t="s">
        <v>7</v>
      </c>
      <c r="E23" s="41" t="s">
        <v>85</v>
      </c>
      <c r="F23" s="41"/>
      <c r="G23" s="41" t="s">
        <v>96</v>
      </c>
      <c r="H23" s="41"/>
      <c r="I23" s="41" t="s">
        <v>25</v>
      </c>
      <c r="J23" s="41">
        <v>24000</v>
      </c>
      <c r="K23" s="41" t="s">
        <v>2</v>
      </c>
      <c r="L23" s="41" t="s">
        <v>90</v>
      </c>
      <c r="M23" s="41">
        <v>15849675548</v>
      </c>
      <c r="N23" s="41" t="s">
        <v>26</v>
      </c>
      <c r="O23" s="41">
        <v>12508</v>
      </c>
      <c r="P23" s="42">
        <v>258401600000441</v>
      </c>
      <c r="Q23" s="42" t="s">
        <v>93</v>
      </c>
      <c r="R23" s="41">
        <v>3.52</v>
      </c>
      <c r="S23" s="41">
        <v>84480</v>
      </c>
      <c r="T23" s="41">
        <v>119832</v>
      </c>
      <c r="U23" s="41" t="s">
        <v>95</v>
      </c>
      <c r="V23" s="41">
        <v>0</v>
      </c>
      <c r="W23" s="41">
        <v>1021</v>
      </c>
      <c r="X23" s="41">
        <v>0</v>
      </c>
    </row>
    <row r="24" spans="1:24" x14ac:dyDescent="0.25">
      <c r="A24" s="43">
        <v>42470</v>
      </c>
      <c r="B24" s="41" t="s">
        <v>7</v>
      </c>
      <c r="C24" s="41" t="s">
        <v>7</v>
      </c>
      <c r="D24" s="41" t="s">
        <v>7</v>
      </c>
      <c r="E24" s="41" t="s">
        <v>86</v>
      </c>
      <c r="F24" s="41"/>
      <c r="G24" s="41" t="s">
        <v>96</v>
      </c>
      <c r="H24" s="41"/>
      <c r="I24" s="41" t="s">
        <v>25</v>
      </c>
      <c r="J24" s="41">
        <v>24000</v>
      </c>
      <c r="K24" s="41" t="s">
        <v>2</v>
      </c>
      <c r="L24" s="41" t="s">
        <v>91</v>
      </c>
      <c r="M24" s="41">
        <v>15849675548</v>
      </c>
      <c r="N24" s="41" t="s">
        <v>26</v>
      </c>
      <c r="O24" s="41">
        <v>12893</v>
      </c>
      <c r="P24" s="42">
        <v>258401600000441</v>
      </c>
      <c r="Q24" s="42" t="s">
        <v>93</v>
      </c>
      <c r="R24" s="41">
        <v>3.52</v>
      </c>
      <c r="S24" s="41">
        <v>84480</v>
      </c>
      <c r="T24" s="41">
        <v>123838</v>
      </c>
      <c r="U24" s="41" t="s">
        <v>95</v>
      </c>
      <c r="V24" s="41">
        <v>0</v>
      </c>
      <c r="W24" s="41">
        <v>1022</v>
      </c>
      <c r="X24" s="41">
        <v>0</v>
      </c>
    </row>
    <row r="25" spans="1:24" x14ac:dyDescent="0.25">
      <c r="A25" s="43">
        <v>42471</v>
      </c>
      <c r="B25" s="41" t="s">
        <v>7</v>
      </c>
      <c r="C25" s="41" t="s">
        <v>7</v>
      </c>
      <c r="D25" s="41" t="s">
        <v>7</v>
      </c>
      <c r="E25" s="41" t="s">
        <v>87</v>
      </c>
      <c r="F25" s="41"/>
      <c r="G25" s="41" t="s">
        <v>96</v>
      </c>
      <c r="H25" s="41"/>
      <c r="I25" s="41" t="s">
        <v>25</v>
      </c>
      <c r="J25" s="41">
        <v>12000</v>
      </c>
      <c r="K25" s="41" t="s">
        <v>2</v>
      </c>
      <c r="L25" s="41" t="s">
        <v>90</v>
      </c>
      <c r="M25" s="41">
        <v>15849675548</v>
      </c>
      <c r="N25" s="41" t="s">
        <v>26</v>
      </c>
      <c r="O25" s="41">
        <v>13040</v>
      </c>
      <c r="P25" s="42">
        <v>258401600000441</v>
      </c>
      <c r="Q25" s="42" t="s">
        <v>93</v>
      </c>
      <c r="R25" s="41">
        <v>3.52</v>
      </c>
      <c r="S25" s="41">
        <v>42240</v>
      </c>
      <c r="T25" s="41">
        <v>124753</v>
      </c>
      <c r="U25" s="41" t="s">
        <v>95</v>
      </c>
      <c r="V25" s="41">
        <v>0</v>
      </c>
      <c r="W25" s="41">
        <v>1023</v>
      </c>
      <c r="X25" s="41">
        <v>0</v>
      </c>
    </row>
    <row r="26" spans="1:24" x14ac:dyDescent="0.25">
      <c r="A26" s="43">
        <v>42475</v>
      </c>
      <c r="B26" s="41" t="s">
        <v>7</v>
      </c>
      <c r="C26" s="41" t="s">
        <v>7</v>
      </c>
      <c r="D26" s="41" t="s">
        <v>7</v>
      </c>
      <c r="E26" s="41" t="s">
        <v>88</v>
      </c>
      <c r="F26" s="41"/>
      <c r="G26" s="41" t="s">
        <v>96</v>
      </c>
      <c r="H26" s="41"/>
      <c r="I26" s="41" t="s">
        <v>36</v>
      </c>
      <c r="J26" s="41">
        <v>8000</v>
      </c>
      <c r="K26" s="41" t="s">
        <v>2</v>
      </c>
      <c r="L26" s="41" t="s">
        <v>90</v>
      </c>
      <c r="M26" s="41">
        <v>15849675548</v>
      </c>
      <c r="N26" s="41" t="s">
        <v>26</v>
      </c>
      <c r="O26" s="41">
        <v>13036</v>
      </c>
      <c r="P26" s="42">
        <v>258401600000441</v>
      </c>
      <c r="Q26" s="42" t="s">
        <v>93</v>
      </c>
      <c r="R26" s="41">
        <v>3.54</v>
      </c>
      <c r="S26" s="41">
        <v>28320</v>
      </c>
      <c r="T26" s="41">
        <v>124759</v>
      </c>
      <c r="U26" s="41" t="s">
        <v>95</v>
      </c>
      <c r="V26" s="41">
        <v>0</v>
      </c>
      <c r="W26" s="41">
        <v>1024</v>
      </c>
      <c r="X26" s="41">
        <v>0</v>
      </c>
    </row>
    <row r="27" spans="1:24" x14ac:dyDescent="0.25">
      <c r="A27" s="44" t="s">
        <v>104</v>
      </c>
      <c r="B27" s="41" t="s">
        <v>7</v>
      </c>
      <c r="C27" s="41" t="s">
        <v>7</v>
      </c>
      <c r="D27" s="41" t="s">
        <v>7</v>
      </c>
      <c r="E27" s="41" t="s">
        <v>88</v>
      </c>
      <c r="F27" s="41"/>
      <c r="G27" s="41" t="s">
        <v>96</v>
      </c>
      <c r="H27" s="41"/>
      <c r="I27" s="41" t="s">
        <v>25</v>
      </c>
      <c r="J27" s="41">
        <v>7000</v>
      </c>
      <c r="K27" s="41" t="s">
        <v>2</v>
      </c>
      <c r="L27" s="41" t="s">
        <v>90</v>
      </c>
      <c r="M27" s="41">
        <v>15849675548</v>
      </c>
      <c r="N27" s="41" t="s">
        <v>26</v>
      </c>
      <c r="O27" s="41">
        <v>14859</v>
      </c>
      <c r="P27" s="42">
        <v>258401600000441</v>
      </c>
      <c r="Q27" s="42" t="s">
        <v>93</v>
      </c>
      <c r="R27" s="41">
        <v>3.52</v>
      </c>
      <c r="S27" s="41">
        <v>24640</v>
      </c>
      <c r="T27" s="41">
        <v>124760</v>
      </c>
      <c r="U27" s="41" t="s">
        <v>95</v>
      </c>
      <c r="V27" s="41">
        <v>0</v>
      </c>
      <c r="W27" s="41">
        <v>0</v>
      </c>
      <c r="X27" s="41">
        <v>958</v>
      </c>
    </row>
    <row r="28" spans="1:24" x14ac:dyDescent="0.25">
      <c r="A28" s="44" t="s">
        <v>101</v>
      </c>
      <c r="B28" s="41" t="s">
        <v>7</v>
      </c>
      <c r="C28" s="41" t="s">
        <v>7</v>
      </c>
      <c r="D28" s="41" t="s">
        <v>7</v>
      </c>
      <c r="E28" s="41" t="s">
        <v>88</v>
      </c>
      <c r="F28" s="41"/>
      <c r="G28" s="41" t="s">
        <v>96</v>
      </c>
      <c r="H28" s="41"/>
      <c r="I28" s="41" t="s">
        <v>36</v>
      </c>
      <c r="J28" s="41">
        <v>6000</v>
      </c>
      <c r="K28" s="41" t="s">
        <v>2</v>
      </c>
      <c r="L28" s="41" t="s">
        <v>90</v>
      </c>
      <c r="M28" s="41">
        <v>15849675548</v>
      </c>
      <c r="N28" s="41" t="s">
        <v>26</v>
      </c>
      <c r="O28" s="41">
        <v>14860</v>
      </c>
      <c r="P28" s="42">
        <v>258401600000441</v>
      </c>
      <c r="Q28" s="42" t="s">
        <v>93</v>
      </c>
      <c r="R28" s="41">
        <v>3.54</v>
      </c>
      <c r="S28" s="41">
        <v>21240</v>
      </c>
      <c r="T28" s="41">
        <v>124761</v>
      </c>
      <c r="U28" s="41" t="s">
        <v>95</v>
      </c>
      <c r="V28" s="41">
        <v>0</v>
      </c>
      <c r="W28" s="41">
        <v>0</v>
      </c>
      <c r="X28" s="41">
        <v>959</v>
      </c>
    </row>
    <row r="29" spans="1:24" x14ac:dyDescent="0.25">
      <c r="A29" s="44" t="s">
        <v>105</v>
      </c>
      <c r="B29" s="41" t="s">
        <v>7</v>
      </c>
      <c r="C29" s="41" t="s">
        <v>7</v>
      </c>
      <c r="D29" s="41" t="s">
        <v>7</v>
      </c>
      <c r="E29" s="41" t="s">
        <v>88</v>
      </c>
      <c r="F29" s="41"/>
      <c r="G29" s="41" t="s">
        <v>96</v>
      </c>
      <c r="H29" s="41"/>
      <c r="I29" s="41" t="s">
        <v>25</v>
      </c>
      <c r="J29" s="41">
        <v>8000</v>
      </c>
      <c r="K29" s="41" t="s">
        <v>2</v>
      </c>
      <c r="L29" s="41" t="s">
        <v>90</v>
      </c>
      <c r="M29" s="41">
        <v>15849675548</v>
      </c>
      <c r="N29" s="41" t="s">
        <v>26</v>
      </c>
      <c r="O29" s="41">
        <v>14861</v>
      </c>
      <c r="P29" s="42">
        <v>258401600000441</v>
      </c>
      <c r="Q29" s="42" t="s">
        <v>93</v>
      </c>
      <c r="R29" s="41">
        <v>3.52</v>
      </c>
      <c r="S29" s="41">
        <v>28160</v>
      </c>
      <c r="T29" s="41">
        <v>124762</v>
      </c>
      <c r="U29" s="41" t="s">
        <v>95</v>
      </c>
      <c r="V29" s="41">
        <v>0</v>
      </c>
      <c r="W29" s="41">
        <v>0</v>
      </c>
      <c r="X29" s="41">
        <v>960</v>
      </c>
    </row>
    <row r="30" spans="1:24" x14ac:dyDescent="0.25">
      <c r="A30" s="44" t="s">
        <v>106</v>
      </c>
      <c r="B30" s="41" t="s">
        <v>7</v>
      </c>
      <c r="C30" s="41" t="s">
        <v>7</v>
      </c>
      <c r="D30" s="41" t="s">
        <v>7</v>
      </c>
      <c r="E30" s="41" t="s">
        <v>88</v>
      </c>
      <c r="F30" s="41"/>
      <c r="G30" s="41" t="s">
        <v>96</v>
      </c>
      <c r="H30" s="41"/>
      <c r="I30" s="41" t="s">
        <v>36</v>
      </c>
      <c r="J30" s="41">
        <v>1000</v>
      </c>
      <c r="K30" s="41" t="s">
        <v>2</v>
      </c>
      <c r="L30" s="41" t="s">
        <v>90</v>
      </c>
      <c r="M30" s="41">
        <v>15849675548</v>
      </c>
      <c r="N30" s="41" t="s">
        <v>26</v>
      </c>
      <c r="O30" s="41">
        <v>14862</v>
      </c>
      <c r="P30" s="42">
        <v>258401600000441</v>
      </c>
      <c r="Q30" s="42" t="s">
        <v>93</v>
      </c>
      <c r="R30" s="41">
        <v>3.54</v>
      </c>
      <c r="S30" s="41">
        <v>3540</v>
      </c>
      <c r="T30" s="41">
        <v>124763</v>
      </c>
      <c r="U30" s="41" t="s">
        <v>95</v>
      </c>
      <c r="V30" s="41">
        <v>0</v>
      </c>
      <c r="W30" s="41">
        <v>0</v>
      </c>
      <c r="X30" s="41">
        <v>961</v>
      </c>
    </row>
    <row r="31" spans="1:24" x14ac:dyDescent="0.25">
      <c r="A31" s="44" t="s">
        <v>105</v>
      </c>
      <c r="B31" s="41" t="s">
        <v>7</v>
      </c>
      <c r="C31" s="41" t="s">
        <v>7</v>
      </c>
      <c r="D31" s="41" t="s">
        <v>7</v>
      </c>
      <c r="E31" s="41" t="s">
        <v>88</v>
      </c>
      <c r="F31" s="41"/>
      <c r="G31" s="41" t="s">
        <v>96</v>
      </c>
      <c r="H31" s="41"/>
      <c r="I31" s="41" t="s">
        <v>25</v>
      </c>
      <c r="J31" s="41">
        <v>6000</v>
      </c>
      <c r="K31" s="41" t="s">
        <v>2</v>
      </c>
      <c r="L31" s="41" t="s">
        <v>90</v>
      </c>
      <c r="M31" s="41">
        <v>15849675548</v>
      </c>
      <c r="N31" s="41" t="s">
        <v>26</v>
      </c>
      <c r="O31" s="41">
        <v>14863</v>
      </c>
      <c r="P31" s="42">
        <v>258401600000441</v>
      </c>
      <c r="Q31" s="42" t="s">
        <v>93</v>
      </c>
      <c r="R31" s="41">
        <v>3.52</v>
      </c>
      <c r="S31" s="41">
        <v>21120</v>
      </c>
      <c r="T31" s="41">
        <v>124764</v>
      </c>
      <c r="U31" s="41" t="s">
        <v>95</v>
      </c>
      <c r="V31" s="41">
        <v>0</v>
      </c>
      <c r="W31" s="41">
        <v>0</v>
      </c>
      <c r="X31" s="41">
        <v>962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Views>
    <sheetView workbookViewId="0"/>
  </sheetViews>
  <sheetFormatPr baseColWidth="10" defaultColWidth="22.85546875" defaultRowHeight="15" x14ac:dyDescent="0.25"/>
  <cols>
    <col min="2" max="2" width="25.140625" customWidth="1"/>
    <col min="3" max="3" width="24.85546875" customWidth="1"/>
    <col min="4" max="4" width="25" customWidth="1"/>
  </cols>
  <sheetData>
    <row r="1" spans="1:24" x14ac:dyDescent="0.25">
      <c r="A1" s="34">
        <v>0</v>
      </c>
      <c r="B1" s="35">
        <v>1</v>
      </c>
      <c r="C1" s="36">
        <v>2</v>
      </c>
      <c r="D1" s="35">
        <v>3</v>
      </c>
      <c r="E1" s="36">
        <v>4</v>
      </c>
      <c r="F1" s="35">
        <v>5</v>
      </c>
      <c r="G1" s="36">
        <v>6</v>
      </c>
      <c r="H1" s="35">
        <v>7</v>
      </c>
      <c r="I1" s="36">
        <v>8</v>
      </c>
      <c r="J1" s="35">
        <v>9</v>
      </c>
      <c r="K1" s="36">
        <v>10</v>
      </c>
      <c r="L1" s="35">
        <v>11</v>
      </c>
      <c r="M1" s="36">
        <v>12</v>
      </c>
      <c r="N1" s="35">
        <v>13</v>
      </c>
      <c r="O1" s="36">
        <v>14</v>
      </c>
      <c r="P1" s="35">
        <v>15</v>
      </c>
      <c r="Q1" s="36">
        <v>16</v>
      </c>
      <c r="R1" s="35">
        <v>17</v>
      </c>
      <c r="S1" s="36">
        <v>18</v>
      </c>
      <c r="T1" s="35">
        <v>19</v>
      </c>
      <c r="U1" s="36">
        <v>20</v>
      </c>
      <c r="V1" s="35">
        <v>21</v>
      </c>
      <c r="W1" s="36">
        <v>22</v>
      </c>
      <c r="X1" s="35">
        <v>23</v>
      </c>
    </row>
    <row r="2" spans="1:24" ht="79.5" customHeight="1" x14ac:dyDescent="0.25">
      <c r="A2" s="37" t="s">
        <v>15</v>
      </c>
      <c r="B2" s="37" t="s">
        <v>103</v>
      </c>
      <c r="C2" s="38" t="s">
        <v>20</v>
      </c>
      <c r="D2" s="38" t="s">
        <v>21</v>
      </c>
      <c r="E2" s="38" t="s">
        <v>53</v>
      </c>
      <c r="F2" s="38" t="s">
        <v>16</v>
      </c>
      <c r="G2" s="38" t="s">
        <v>9</v>
      </c>
      <c r="H2" s="38" t="s">
        <v>33</v>
      </c>
      <c r="I2" s="38" t="s">
        <v>5</v>
      </c>
      <c r="J2" s="38" t="s">
        <v>0</v>
      </c>
      <c r="K2" s="38" t="s">
        <v>13</v>
      </c>
      <c r="L2" s="38" t="s">
        <v>8</v>
      </c>
      <c r="M2" s="38" t="s">
        <v>3</v>
      </c>
      <c r="N2" s="38" t="s">
        <v>4</v>
      </c>
      <c r="O2" s="38" t="s">
        <v>17</v>
      </c>
      <c r="P2" s="39" t="s">
        <v>18</v>
      </c>
      <c r="Q2" s="38" t="s">
        <v>49</v>
      </c>
      <c r="R2" s="38" t="s">
        <v>1</v>
      </c>
      <c r="S2" s="38" t="s">
        <v>11</v>
      </c>
      <c r="T2" s="38" t="s">
        <v>37</v>
      </c>
      <c r="U2" s="38" t="s">
        <v>6</v>
      </c>
      <c r="V2" s="38" t="s">
        <v>38</v>
      </c>
      <c r="W2" s="38" t="s">
        <v>54</v>
      </c>
      <c r="X2" s="38" t="s">
        <v>56</v>
      </c>
    </row>
    <row r="3" spans="1:24" x14ac:dyDescent="0.25">
      <c r="A3" s="2" t="s">
        <v>60</v>
      </c>
      <c r="B3" s="2" t="s">
        <v>102</v>
      </c>
      <c r="C3" s="2" t="s">
        <v>7</v>
      </c>
      <c r="D3" s="2" t="s">
        <v>7</v>
      </c>
      <c r="E3" s="2"/>
      <c r="F3" s="2"/>
      <c r="G3" s="2"/>
      <c r="H3" s="2"/>
      <c r="I3" s="2" t="s">
        <v>25</v>
      </c>
      <c r="J3" s="2">
        <v>15.85</v>
      </c>
      <c r="K3" s="2" t="s">
        <v>2</v>
      </c>
      <c r="L3" s="2" t="s">
        <v>98</v>
      </c>
      <c r="M3" s="2">
        <v>0</v>
      </c>
      <c r="N3" s="2"/>
      <c r="O3" s="2">
        <v>0</v>
      </c>
      <c r="P3" s="2">
        <v>0</v>
      </c>
      <c r="Q3" s="2"/>
      <c r="R3" s="2">
        <v>0</v>
      </c>
      <c r="S3" s="2">
        <v>0</v>
      </c>
      <c r="T3" s="2">
        <v>9548</v>
      </c>
      <c r="U3" s="2"/>
      <c r="V3" s="2">
        <v>0</v>
      </c>
      <c r="W3" s="2">
        <v>0</v>
      </c>
      <c r="X3" s="2">
        <v>0</v>
      </c>
    </row>
    <row r="4" spans="1:24" x14ac:dyDescent="0.25">
      <c r="A4" s="2" t="s">
        <v>60</v>
      </c>
      <c r="B4" s="2" t="s">
        <v>102</v>
      </c>
      <c r="C4" s="2" t="s">
        <v>7</v>
      </c>
      <c r="D4" s="2" t="s">
        <v>7</v>
      </c>
      <c r="E4" s="2"/>
      <c r="F4" s="2"/>
      <c r="G4" s="2"/>
      <c r="H4" s="2"/>
      <c r="I4" s="2" t="s">
        <v>25</v>
      </c>
      <c r="J4" s="2">
        <v>15.85</v>
      </c>
      <c r="K4" s="2" t="s">
        <v>10</v>
      </c>
      <c r="L4" s="2" t="s">
        <v>98</v>
      </c>
      <c r="M4" s="2">
        <v>0</v>
      </c>
      <c r="N4" s="2"/>
      <c r="O4" s="2">
        <v>0</v>
      </c>
      <c r="P4" s="2">
        <v>0</v>
      </c>
      <c r="Q4" s="2"/>
      <c r="R4" s="2">
        <v>0</v>
      </c>
      <c r="S4" s="2">
        <v>0</v>
      </c>
      <c r="T4" s="2">
        <v>9549</v>
      </c>
      <c r="U4" s="2"/>
      <c r="V4" s="2">
        <v>0</v>
      </c>
      <c r="W4" s="2">
        <v>0</v>
      </c>
      <c r="X4" s="2">
        <v>0</v>
      </c>
    </row>
    <row r="5" spans="1:24" x14ac:dyDescent="0.25">
      <c r="A5" s="2" t="s">
        <v>60</v>
      </c>
      <c r="B5" s="2" t="s">
        <v>102</v>
      </c>
      <c r="C5" s="2" t="s">
        <v>7</v>
      </c>
      <c r="D5" s="2" t="s">
        <v>7</v>
      </c>
      <c r="E5" s="2"/>
      <c r="F5" s="2"/>
      <c r="G5" s="2"/>
      <c r="H5" s="2"/>
      <c r="I5" s="2" t="s">
        <v>25</v>
      </c>
      <c r="J5" s="2">
        <v>15.85</v>
      </c>
      <c r="K5" s="2" t="s">
        <v>2</v>
      </c>
      <c r="L5" s="2" t="s">
        <v>98</v>
      </c>
      <c r="M5" s="2">
        <v>0</v>
      </c>
      <c r="N5" s="2"/>
      <c r="O5" s="2">
        <v>0</v>
      </c>
      <c r="P5" s="2">
        <v>0</v>
      </c>
      <c r="Q5" s="2"/>
      <c r="R5" s="2">
        <v>0</v>
      </c>
      <c r="S5" s="2">
        <v>0</v>
      </c>
      <c r="T5" s="2">
        <v>9550</v>
      </c>
      <c r="U5" s="2"/>
      <c r="V5" s="2">
        <v>0</v>
      </c>
      <c r="W5" s="2">
        <v>0</v>
      </c>
      <c r="X5" s="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Listado Tipos de Operaciones </vt:lpstr>
      <vt:lpstr>IngXCompra</vt:lpstr>
      <vt:lpstr>IngXDemasia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Agencia Nacional de Hidrocarburos</dc:creator>
  <cp:lastModifiedBy>DTIC - Carla Carmen Herrera Perez</cp:lastModifiedBy>
  <cp:lastPrinted>2016-11-23T22:04:17Z</cp:lastPrinted>
  <dcterms:created xsi:type="dcterms:W3CDTF">2016-04-19T13:46:13Z</dcterms:created>
  <dcterms:modified xsi:type="dcterms:W3CDTF">2017-01-09T16:24:45Z</dcterms:modified>
</cp:coreProperties>
</file>