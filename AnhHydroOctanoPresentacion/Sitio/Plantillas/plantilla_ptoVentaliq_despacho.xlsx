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s2021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Detalle de Despachos" sheetId="15" r:id="rId1"/>
    <sheet name="Ejm. SalidaXVenta" sheetId="16" r:id="rId2"/>
    <sheet name="Ejm. SalidaXMerma" sheetId="17" r:id="rId3"/>
  </sheets>
  <calcPr calcId="152511"/>
</workbook>
</file>

<file path=xl/calcChain.xml><?xml version="1.0" encoding="utf-8"?>
<calcChain xmlns="http://schemas.openxmlformats.org/spreadsheetml/2006/main">
  <c r="AC6" i="16" l="1"/>
  <c r="S6" i="16"/>
  <c r="S2" i="16"/>
  <c r="S1" i="16"/>
  <c r="AD10" i="15" l="1"/>
  <c r="T10" i="15"/>
  <c r="T6" i="15"/>
  <c r="T5" i="15"/>
</calcChain>
</file>

<file path=xl/sharedStrings.xml><?xml version="1.0" encoding="utf-8"?>
<sst xmlns="http://schemas.openxmlformats.org/spreadsheetml/2006/main" count="246" uniqueCount="90">
  <si>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</si>
  <si>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</si>
  <si>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</si>
  <si>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</si>
  <si>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</si>
  <si>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</si>
  <si>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</si>
  <si>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</si>
  <si>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RESPONSABLE</t>
  </si>
  <si>
    <t>NOID</t>
  </si>
  <si>
    <t>C.I. USUARIO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</si>
  <si>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</si>
  <si>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</si>
  <si>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</si>
  <si>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</si>
  <si>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</si>
  <si>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</si>
  <si>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</si>
  <si>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TIPO INFRA RECEPTOR/DESPACHANTE NOID = NO IDENTIFICADO
TK = TANQUE
MN = MANGUERA</t>
  </si>
  <si>
    <t>GE</t>
  </si>
  <si>
    <t>EF</t>
  </si>
  <si>
    <t>NRO VALE</t>
  </si>
  <si>
    <t>TK-DO001</t>
  </si>
  <si>
    <t>DO</t>
  </si>
  <si>
    <t xml:space="preserve">NUMERO REFERENCIA </t>
  </si>
  <si>
    <t>CI RESPONSABLE</t>
  </si>
  <si>
    <t>01/10/2016</t>
  </si>
  <si>
    <t>01/10/2016 08:10:00</t>
  </si>
  <si>
    <t>01/10/2016 08:15:00</t>
  </si>
  <si>
    <t>01/10/2016 08:30:00</t>
  </si>
  <si>
    <t>01/10/2016 08:40:00</t>
  </si>
  <si>
    <t>MN</t>
  </si>
  <si>
    <t>MN-A1</t>
  </si>
  <si>
    <t>MN-A2</t>
  </si>
  <si>
    <t>458KOL</t>
  </si>
  <si>
    <t>ANDRADE</t>
  </si>
  <si>
    <t>11-AA-45-45</t>
  </si>
  <si>
    <t>543GTR</t>
  </si>
  <si>
    <t>PRE</t>
  </si>
  <si>
    <t>CONSTRUCTORA S.R.L.</t>
  </si>
  <si>
    <t>54-76-A1-78-98</t>
  </si>
  <si>
    <t>985HXX</t>
  </si>
  <si>
    <t>VAL</t>
  </si>
  <si>
    <t>AB84959</t>
  </si>
  <si>
    <t>BRASIL</t>
  </si>
  <si>
    <t>INTERNACIONAL S.A.</t>
  </si>
  <si>
    <t>34-56-12-A3</t>
  </si>
  <si>
    <t>AA-23-45-BC-D2</t>
  </si>
  <si>
    <t>CODIGO CONTROL</t>
  </si>
  <si>
    <t>DOCUMENTO - FACTURA</t>
  </si>
  <si>
    <t>DOCUMENTO - VALE</t>
  </si>
  <si>
    <t>DOCUMENTO - FACTURA EXTERNA</t>
  </si>
  <si>
    <t>NO AUTORIZACION DE VENTA</t>
  </si>
  <si>
    <t>DOC - AUTORIZACION VTA</t>
  </si>
  <si>
    <t>SC</t>
  </si>
  <si>
    <t>NO FACTURA EXTERNA</t>
  </si>
  <si>
    <t>NO AUTORIZACION EXTERNA</t>
  </si>
  <si>
    <t>CODIGO CONTROL EXTERNA</t>
  </si>
  <si>
    <t>PRECIO EXTERNA</t>
  </si>
  <si>
    <t>IMPORTE EXTERNA</t>
  </si>
  <si>
    <t>IDENTIFICADOR        PLACA/ENVASE
BIDO = BIDON
BOTE = BOTELLA
OTRO = OTROS</t>
  </si>
  <si>
    <t>01/10/2016 09:00:34</t>
  </si>
  <si>
    <t>BIDO</t>
  </si>
  <si>
    <t>LIRA</t>
  </si>
  <si>
    <t>11-AA-66-66</t>
  </si>
  <si>
    <t>DOC - PRINCIPAL</t>
  </si>
  <si>
    <t>SUIC</t>
  </si>
  <si>
    <t>DOC - SERVICIO ADICIONAL</t>
  </si>
  <si>
    <t>TIPO SERVICIO ADICIONAL
NOID = NO IDENTIFICADO
SUIC = SERV. UNICO INTEGRAL DE CONSUM.
DS2243 = DECRETO SUPREMO 2243
SICEVE = SICEVE</t>
  </si>
  <si>
    <t>TIPO DE AUTORIZACION DE VENTA
NOID = NO IDENTIFICADO
SC = SUST.CONTROLADAS
CC = COM.CONJUNTO</t>
  </si>
  <si>
    <t>INFRAESTRUCTURA RECEPTOR/DESPACHANTE 
NOID = NO IDENTIFICADO</t>
  </si>
  <si>
    <t>V234</t>
  </si>
  <si>
    <t>FORMA PAGO
EF = EFECTIVO
PRE = PRE-PAGO
VAL = VALE</t>
  </si>
  <si>
    <t>423GTR</t>
  </si>
  <si>
    <t>EMPRESA S.A.</t>
  </si>
  <si>
    <t>65-AC-53-66-88</t>
  </si>
  <si>
    <t>Texto</t>
  </si>
  <si>
    <t>IMPORTE ADICIONAL</t>
  </si>
  <si>
    <t>SALIDA X VENTA</t>
  </si>
  <si>
    <t>SALIDA X MERMA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</si>
  <si>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</si>
  <si>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t>9568574 LP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</si>
  <si>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</si>
  <si>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</si>
  <si>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</si>
  <si>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>NUMERO DE REFERENCIA SERVICIO ADICIONAL</t>
  </si>
  <si>
    <r>
      <t xml:space="preserve">Texto                                   </t>
    </r>
    <r>
      <rPr>
        <b/>
        <sz val="9"/>
        <color theme="1"/>
        <rFont val="Calibri"/>
        <family val="2"/>
      </rPr>
      <t>Vacio si no aplica</t>
    </r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</si>
  <si>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</si>
  <si>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</si>
  <si>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(NRO/COD) 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</si>
</sst>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"/>
  <sheetViews>
    <sheetView tabSelected="1" topLeftCell="J1" workbookViewId="0">
      <selection activeCell="Q9" sqref="Q9"/>
    </sheetView>
  </sheetViews>
  <sheetFormatPr baseColWidth="10" defaultColWidth="17.140625" defaultRowHeight="15" x14ac:dyDescent="0.25"/>
  <cols>
    <col min="1" max="1" width="34.140625" style="1" customWidth="1"/>
    <col min="2" max="2" width="19.140625" style="1" customWidth="1"/>
    <col min="3" max="3" width="24.42578125" style="1" customWidth="1"/>
    <col min="4" max="4" width="24.5703125" style="1" customWidth="1"/>
    <col min="5" max="5" width="17.140625" style="1"/>
    <col min="6" max="7" width="19.7109375" style="1" customWidth="1"/>
    <col min="8" max="9" width="17.140625" style="1"/>
    <col min="10" max="10" width="23" style="1" customWidth="1"/>
    <col min="11" max="14" width="17.140625" style="1"/>
    <col min="15" max="15" width="19.42578125" style="1" customWidth="1"/>
    <col min="16" max="17" width="17.140625" style="1"/>
    <col min="18" max="18" width="18.28515625" style="1" customWidth="1"/>
    <col min="19" max="19" width="23.5703125" style="1" customWidth="1"/>
    <col min="20" max="20" width="22.28515625" style="1" customWidth="1"/>
    <col min="21" max="21" width="17.140625" style="1"/>
    <col min="22" max="22" width="22.7109375" style="1" customWidth="1"/>
    <col min="23" max="23" width="22.140625" style="1" customWidth="1"/>
    <col min="24" max="28" width="17.140625" style="1"/>
    <col min="29" max="29" width="23.85546875" style="1" customWidth="1"/>
    <col min="30" max="30" width="21.85546875" style="1" customWidth="1"/>
    <col min="31" max="31" width="19.85546875" style="1" customWidth="1"/>
    <col min="32" max="32" width="41" style="1" customWidth="1"/>
    <col min="33" max="33" width="22.85546875" style="1" customWidth="1"/>
    <col min="34" max="34" width="23.85546875" style="1" customWidth="1"/>
    <col min="35" max="35" width="27.42578125" style="1" customWidth="1"/>
    <col min="36" max="36" width="18.28515625" style="1" customWidth="1"/>
    <col min="37" max="16384" width="17.140625" style="1"/>
  </cols>
  <sheetData>
    <row r="1" spans="1:36" s="15" customFormat="1" x14ac:dyDescent="0.25">
      <c r="B1" s="16">
        <v>0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</row>
    <row r="2" spans="1:36" ht="121.5" customHeight="1" x14ac:dyDescent="0.25">
      <c r="A2" s="10" t="s">
        <v>14</v>
      </c>
      <c r="B2" s="11" t="s">
        <v>15</v>
      </c>
      <c r="C2" s="12" t="s">
        <v>18</v>
      </c>
      <c r="D2" s="12" t="s">
        <v>70</v>
      </c>
      <c r="E2" s="12" t="s">
        <v>60</v>
      </c>
      <c r="F2" s="12" t="s">
        <v>16</v>
      </c>
      <c r="G2" s="12" t="s">
        <v>87</v>
      </c>
      <c r="H2" s="12" t="s">
        <v>3</v>
      </c>
      <c r="I2" s="12" t="s">
        <v>7</v>
      </c>
      <c r="J2" s="12" t="s">
        <v>0</v>
      </c>
      <c r="K2" s="12" t="s">
        <v>13</v>
      </c>
      <c r="L2" s="12" t="s">
        <v>10</v>
      </c>
      <c r="M2" s="12" t="s">
        <v>72</v>
      </c>
      <c r="N2" s="12" t="s">
        <v>5</v>
      </c>
      <c r="O2" s="12" t="s">
        <v>6</v>
      </c>
      <c r="P2" s="12" t="s">
        <v>17</v>
      </c>
      <c r="Q2" s="13" t="s">
        <v>89</v>
      </c>
      <c r="R2" s="12" t="s">
        <v>48</v>
      </c>
      <c r="S2" s="12" t="s">
        <v>1</v>
      </c>
      <c r="T2" s="12" t="s">
        <v>11</v>
      </c>
      <c r="U2" s="12" t="s">
        <v>21</v>
      </c>
      <c r="V2" s="12" t="s">
        <v>1</v>
      </c>
      <c r="W2" s="12" t="s">
        <v>11</v>
      </c>
      <c r="X2" s="12" t="s">
        <v>8</v>
      </c>
      <c r="Y2" s="12" t="s">
        <v>25</v>
      </c>
      <c r="Z2" s="12" t="s">
        <v>55</v>
      </c>
      <c r="AA2" s="12" t="s">
        <v>56</v>
      </c>
      <c r="AB2" s="12" t="s">
        <v>57</v>
      </c>
      <c r="AC2" s="12" t="s">
        <v>58</v>
      </c>
      <c r="AD2" s="12" t="s">
        <v>59</v>
      </c>
      <c r="AE2" s="12" t="s">
        <v>24</v>
      </c>
      <c r="AF2" s="12" t="s">
        <v>68</v>
      </c>
      <c r="AG2" s="12" t="s">
        <v>85</v>
      </c>
      <c r="AH2" s="12" t="s">
        <v>77</v>
      </c>
      <c r="AI2" s="12" t="s">
        <v>69</v>
      </c>
      <c r="AJ2" s="12" t="s">
        <v>52</v>
      </c>
    </row>
    <row r="3" spans="1:36" s="18" customFormat="1" ht="36.75" customHeight="1" x14ac:dyDescent="0.25">
      <c r="A3" s="10"/>
      <c r="B3" s="11" t="s">
        <v>76</v>
      </c>
      <c r="C3" s="11" t="s">
        <v>76</v>
      </c>
      <c r="D3" s="11" t="s">
        <v>76</v>
      </c>
      <c r="E3" s="11" t="s">
        <v>82</v>
      </c>
      <c r="F3" s="11" t="s">
        <v>82</v>
      </c>
      <c r="G3" s="12" t="s">
        <v>88</v>
      </c>
      <c r="H3" s="11" t="s">
        <v>76</v>
      </c>
      <c r="I3" s="11" t="s">
        <v>76</v>
      </c>
      <c r="J3" s="12" t="s">
        <v>80</v>
      </c>
      <c r="K3" s="11" t="s">
        <v>76</v>
      </c>
      <c r="L3" s="11" t="s">
        <v>76</v>
      </c>
      <c r="M3" s="11" t="s">
        <v>76</v>
      </c>
      <c r="N3" s="12" t="s">
        <v>83</v>
      </c>
      <c r="O3" s="11" t="s">
        <v>82</v>
      </c>
      <c r="P3" s="12" t="s">
        <v>83</v>
      </c>
      <c r="Q3" s="12" t="s">
        <v>83</v>
      </c>
      <c r="R3" s="11" t="s">
        <v>82</v>
      </c>
      <c r="S3" s="12" t="s">
        <v>84</v>
      </c>
      <c r="T3" s="12" t="s">
        <v>84</v>
      </c>
      <c r="U3" s="11" t="s">
        <v>82</v>
      </c>
      <c r="V3" s="12" t="s">
        <v>84</v>
      </c>
      <c r="W3" s="12" t="s">
        <v>84</v>
      </c>
      <c r="X3" s="11" t="s">
        <v>82</v>
      </c>
      <c r="Y3" s="12" t="s">
        <v>83</v>
      </c>
      <c r="Z3" s="12" t="s">
        <v>83</v>
      </c>
      <c r="AA3" s="12" t="s">
        <v>83</v>
      </c>
      <c r="AB3" s="11" t="s">
        <v>82</v>
      </c>
      <c r="AC3" s="12" t="s">
        <v>84</v>
      </c>
      <c r="AD3" s="12" t="s">
        <v>84</v>
      </c>
      <c r="AE3" s="11" t="s">
        <v>76</v>
      </c>
      <c r="AF3" s="11" t="s">
        <v>76</v>
      </c>
      <c r="AG3" s="11" t="s">
        <v>86</v>
      </c>
      <c r="AH3" s="12" t="s">
        <v>84</v>
      </c>
      <c r="AI3" s="11" t="s">
        <v>76</v>
      </c>
      <c r="AJ3" s="12" t="s">
        <v>83</v>
      </c>
    </row>
    <row r="4" spans="1:36" s="4" customFormat="1" ht="18" customHeight="1" x14ac:dyDescent="0.25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30" t="s">
        <v>49</v>
      </c>
      <c r="O4" s="31"/>
      <c r="P4" s="31"/>
      <c r="Q4" s="31"/>
      <c r="R4" s="31"/>
      <c r="S4" s="31"/>
      <c r="T4" s="32"/>
      <c r="U4" s="27" t="s">
        <v>50</v>
      </c>
      <c r="V4" s="28"/>
      <c r="W4" s="28"/>
      <c r="X4" s="28"/>
      <c r="Y4" s="29"/>
      <c r="Z4" s="19" t="s">
        <v>51</v>
      </c>
      <c r="AA4" s="20"/>
      <c r="AB4" s="20"/>
      <c r="AC4" s="20"/>
      <c r="AD4" s="21"/>
      <c r="AE4" s="14" t="s">
        <v>65</v>
      </c>
      <c r="AF4" s="24" t="s">
        <v>67</v>
      </c>
      <c r="AG4" s="25"/>
      <c r="AH4" s="26"/>
      <c r="AI4" s="22" t="s">
        <v>53</v>
      </c>
      <c r="AJ4" s="22"/>
    </row>
    <row r="5" spans="1:36" x14ac:dyDescent="0.25">
      <c r="A5" s="23" t="s">
        <v>78</v>
      </c>
      <c r="B5" s="3" t="s">
        <v>27</v>
      </c>
      <c r="C5" s="2" t="s">
        <v>31</v>
      </c>
      <c r="D5" s="2" t="s">
        <v>32</v>
      </c>
      <c r="E5" s="2" t="s">
        <v>34</v>
      </c>
      <c r="F5" s="2"/>
      <c r="G5" s="2">
        <v>6800045896</v>
      </c>
      <c r="H5" s="2" t="s">
        <v>4</v>
      </c>
      <c r="I5" s="2" t="s">
        <v>19</v>
      </c>
      <c r="J5" s="2">
        <v>78</v>
      </c>
      <c r="K5" s="2" t="s">
        <v>2</v>
      </c>
      <c r="L5" s="2" t="s">
        <v>81</v>
      </c>
      <c r="M5" s="2" t="s">
        <v>20</v>
      </c>
      <c r="N5" s="2">
        <v>78996548</v>
      </c>
      <c r="O5" s="2" t="s">
        <v>35</v>
      </c>
      <c r="P5" s="2">
        <v>956</v>
      </c>
      <c r="Q5" s="5">
        <v>200100123456</v>
      </c>
      <c r="R5" s="2" t="s">
        <v>36</v>
      </c>
      <c r="S5" s="2">
        <v>3.74</v>
      </c>
      <c r="T5" s="2">
        <f>J5*S5</f>
        <v>291.72000000000003</v>
      </c>
      <c r="U5" s="2"/>
      <c r="V5" s="2">
        <v>0</v>
      </c>
      <c r="W5" s="2">
        <v>0</v>
      </c>
      <c r="X5" s="2"/>
      <c r="Y5" s="2">
        <v>0</v>
      </c>
      <c r="Z5" s="2">
        <v>0</v>
      </c>
      <c r="AA5" s="2">
        <v>0</v>
      </c>
      <c r="AB5" s="2"/>
      <c r="AC5" s="2">
        <v>0</v>
      </c>
      <c r="AD5" s="2">
        <v>0</v>
      </c>
      <c r="AE5" s="2">
        <v>9576</v>
      </c>
      <c r="AF5" s="2" t="s">
        <v>66</v>
      </c>
      <c r="AG5" s="2">
        <v>559</v>
      </c>
      <c r="AH5" s="2">
        <v>15</v>
      </c>
      <c r="AI5" s="2" t="s">
        <v>9</v>
      </c>
      <c r="AJ5" s="2">
        <v>0</v>
      </c>
    </row>
    <row r="6" spans="1:36" x14ac:dyDescent="0.25">
      <c r="A6" s="23"/>
      <c r="B6" s="3" t="s">
        <v>28</v>
      </c>
      <c r="C6" s="2" t="s">
        <v>31</v>
      </c>
      <c r="D6" s="2" t="s">
        <v>33</v>
      </c>
      <c r="E6" s="2" t="s">
        <v>37</v>
      </c>
      <c r="F6" s="2">
        <v>1</v>
      </c>
      <c r="G6" s="2">
        <v>6800045234</v>
      </c>
      <c r="H6" s="2" t="s">
        <v>4</v>
      </c>
      <c r="I6" s="2" t="s">
        <v>19</v>
      </c>
      <c r="J6" s="2">
        <v>2300</v>
      </c>
      <c r="K6" s="2" t="s">
        <v>2</v>
      </c>
      <c r="L6" s="2" t="s">
        <v>81</v>
      </c>
      <c r="M6" s="2" t="s">
        <v>38</v>
      </c>
      <c r="N6" s="2">
        <v>6532847</v>
      </c>
      <c r="O6" s="2" t="s">
        <v>39</v>
      </c>
      <c r="P6" s="2">
        <v>10524</v>
      </c>
      <c r="Q6" s="5">
        <v>200100123456</v>
      </c>
      <c r="R6" s="2" t="s">
        <v>40</v>
      </c>
      <c r="S6" s="2">
        <v>3.74</v>
      </c>
      <c r="T6" s="2">
        <f>J6*S6</f>
        <v>8602</v>
      </c>
      <c r="U6" s="2"/>
      <c r="V6" s="2">
        <v>0</v>
      </c>
      <c r="W6" s="2">
        <v>0</v>
      </c>
      <c r="X6" s="2"/>
      <c r="Y6" s="2">
        <v>0</v>
      </c>
      <c r="Z6" s="2">
        <v>0</v>
      </c>
      <c r="AA6" s="2">
        <v>0</v>
      </c>
      <c r="AB6" s="2"/>
      <c r="AC6" s="2">
        <v>0</v>
      </c>
      <c r="AD6" s="2">
        <v>0</v>
      </c>
      <c r="AE6" s="2">
        <v>9678</v>
      </c>
      <c r="AF6" s="2" t="s">
        <v>9</v>
      </c>
      <c r="AG6" s="2"/>
      <c r="AH6" s="2">
        <v>0</v>
      </c>
      <c r="AI6" s="2" t="s">
        <v>54</v>
      </c>
      <c r="AJ6" s="2">
        <v>984555</v>
      </c>
    </row>
    <row r="7" spans="1:36" x14ac:dyDescent="0.25">
      <c r="A7" s="23"/>
      <c r="B7" s="3" t="s">
        <v>29</v>
      </c>
      <c r="C7" s="2" t="s">
        <v>31</v>
      </c>
      <c r="D7" s="2" t="s">
        <v>32</v>
      </c>
      <c r="E7" s="2" t="s">
        <v>41</v>
      </c>
      <c r="F7" s="2"/>
      <c r="G7" s="2">
        <v>6800000145</v>
      </c>
      <c r="H7" s="2" t="s">
        <v>4</v>
      </c>
      <c r="I7" s="2" t="s">
        <v>19</v>
      </c>
      <c r="J7" s="2">
        <v>80</v>
      </c>
      <c r="K7" s="2" t="s">
        <v>2</v>
      </c>
      <c r="L7" s="2" t="s">
        <v>81</v>
      </c>
      <c r="M7" s="2" t="s">
        <v>42</v>
      </c>
      <c r="N7" s="2">
        <v>6532847</v>
      </c>
      <c r="O7" s="2" t="s">
        <v>39</v>
      </c>
      <c r="P7" s="2">
        <v>10524</v>
      </c>
      <c r="Q7" s="5">
        <v>200100123456</v>
      </c>
      <c r="R7" s="2"/>
      <c r="S7" s="2">
        <v>0</v>
      </c>
      <c r="T7" s="2">
        <v>0</v>
      </c>
      <c r="U7" s="2" t="s">
        <v>71</v>
      </c>
      <c r="V7" s="2">
        <v>3.74</v>
      </c>
      <c r="W7" s="2">
        <v>299.2</v>
      </c>
      <c r="X7" s="2"/>
      <c r="Y7" s="2">
        <v>0</v>
      </c>
      <c r="Z7" s="2">
        <v>0</v>
      </c>
      <c r="AA7" s="2">
        <v>0</v>
      </c>
      <c r="AB7" s="2"/>
      <c r="AC7" s="2">
        <v>0</v>
      </c>
      <c r="AD7" s="2">
        <v>0</v>
      </c>
      <c r="AE7" s="2">
        <v>9680</v>
      </c>
      <c r="AF7" s="2" t="s">
        <v>9</v>
      </c>
      <c r="AG7" s="2"/>
      <c r="AH7" s="2">
        <v>0</v>
      </c>
      <c r="AI7" s="2" t="s">
        <v>9</v>
      </c>
      <c r="AJ7" s="2">
        <v>0</v>
      </c>
    </row>
    <row r="8" spans="1:36" x14ac:dyDescent="0.25">
      <c r="A8" s="23"/>
      <c r="B8" s="3" t="s">
        <v>29</v>
      </c>
      <c r="C8" s="2" t="s">
        <v>31</v>
      </c>
      <c r="D8" s="2" t="s">
        <v>32</v>
      </c>
      <c r="E8" s="2" t="s">
        <v>73</v>
      </c>
      <c r="F8" s="2"/>
      <c r="G8" s="2">
        <v>6800012548</v>
      </c>
      <c r="H8" s="2" t="s">
        <v>4</v>
      </c>
      <c r="I8" s="2" t="s">
        <v>19</v>
      </c>
      <c r="J8" s="2">
        <v>30</v>
      </c>
      <c r="K8" s="2" t="s">
        <v>2</v>
      </c>
      <c r="L8" s="2">
        <v>4353534</v>
      </c>
      <c r="M8" s="2" t="s">
        <v>42</v>
      </c>
      <c r="N8" s="2">
        <v>757564545</v>
      </c>
      <c r="O8" s="2" t="s">
        <v>74</v>
      </c>
      <c r="P8" s="2">
        <v>10552</v>
      </c>
      <c r="Q8" s="5">
        <v>200100123456</v>
      </c>
      <c r="R8" s="2" t="s">
        <v>75</v>
      </c>
      <c r="S8" s="2">
        <v>3.74</v>
      </c>
      <c r="T8" s="2">
        <v>112.2</v>
      </c>
      <c r="U8" s="2">
        <v>53423</v>
      </c>
      <c r="V8" s="2">
        <v>0</v>
      </c>
      <c r="W8" s="2">
        <v>0</v>
      </c>
      <c r="X8" s="2"/>
      <c r="Y8" s="2">
        <v>0</v>
      </c>
      <c r="Z8" s="2">
        <v>0</v>
      </c>
      <c r="AA8" s="2">
        <v>0</v>
      </c>
      <c r="AB8" s="2"/>
      <c r="AC8" s="2">
        <v>0</v>
      </c>
      <c r="AD8" s="2">
        <v>0</v>
      </c>
      <c r="AE8" s="2">
        <v>788</v>
      </c>
      <c r="AF8" s="2" t="s">
        <v>9</v>
      </c>
      <c r="AG8" s="2"/>
      <c r="AH8" s="2">
        <v>0</v>
      </c>
      <c r="AI8" s="2" t="s">
        <v>9</v>
      </c>
      <c r="AJ8" s="2">
        <v>0</v>
      </c>
    </row>
    <row r="9" spans="1:36" x14ac:dyDescent="0.25">
      <c r="A9" s="23"/>
      <c r="B9" s="3" t="s">
        <v>61</v>
      </c>
      <c r="C9" s="2" t="s">
        <v>31</v>
      </c>
      <c r="D9" s="2" t="s">
        <v>32</v>
      </c>
      <c r="E9" s="2" t="s">
        <v>62</v>
      </c>
      <c r="F9" s="2"/>
      <c r="G9" s="2">
        <v>0</v>
      </c>
      <c r="H9" s="2" t="s">
        <v>4</v>
      </c>
      <c r="I9" s="2" t="s">
        <v>19</v>
      </c>
      <c r="J9" s="2">
        <v>20</v>
      </c>
      <c r="K9" s="2" t="s">
        <v>2</v>
      </c>
      <c r="L9" s="2">
        <v>7895465</v>
      </c>
      <c r="M9" s="2" t="s">
        <v>20</v>
      </c>
      <c r="N9" s="2">
        <v>34664564</v>
      </c>
      <c r="O9" s="2" t="s">
        <v>63</v>
      </c>
      <c r="P9" s="2">
        <v>10559</v>
      </c>
      <c r="Q9" s="5">
        <v>200100123456</v>
      </c>
      <c r="R9" s="2" t="s">
        <v>64</v>
      </c>
      <c r="S9" s="2">
        <v>3.74</v>
      </c>
      <c r="T9" s="2">
        <v>74.8</v>
      </c>
      <c r="U9" s="2"/>
      <c r="V9" s="2">
        <v>0</v>
      </c>
      <c r="W9" s="2">
        <v>0</v>
      </c>
      <c r="X9" s="2"/>
      <c r="Y9" s="2">
        <v>0</v>
      </c>
      <c r="Z9" s="2">
        <v>0</v>
      </c>
      <c r="AA9" s="2">
        <v>0</v>
      </c>
      <c r="AB9" s="2"/>
      <c r="AC9" s="2">
        <v>0</v>
      </c>
      <c r="AD9" s="2">
        <v>0</v>
      </c>
      <c r="AE9" s="2">
        <v>65</v>
      </c>
      <c r="AF9" s="2" t="s">
        <v>9</v>
      </c>
      <c r="AG9" s="2"/>
      <c r="AH9" s="2">
        <v>0</v>
      </c>
      <c r="AI9" s="2" t="s">
        <v>9</v>
      </c>
      <c r="AJ9" s="2">
        <v>0</v>
      </c>
    </row>
    <row r="10" spans="1:36" x14ac:dyDescent="0.25">
      <c r="A10" s="23"/>
      <c r="B10" s="3" t="s">
        <v>30</v>
      </c>
      <c r="C10" s="2" t="s">
        <v>31</v>
      </c>
      <c r="D10" s="2" t="s">
        <v>32</v>
      </c>
      <c r="E10" s="2" t="s">
        <v>43</v>
      </c>
      <c r="F10" s="2"/>
      <c r="G10" s="2">
        <v>6859421587</v>
      </c>
      <c r="H10" s="2" t="s">
        <v>44</v>
      </c>
      <c r="I10" s="2" t="s">
        <v>19</v>
      </c>
      <c r="J10" s="2">
        <v>200</v>
      </c>
      <c r="K10" s="2" t="s">
        <v>2</v>
      </c>
      <c r="L10" s="2">
        <v>9568574</v>
      </c>
      <c r="M10" s="2" t="s">
        <v>20</v>
      </c>
      <c r="N10" s="2">
        <v>45468986</v>
      </c>
      <c r="O10" s="2" t="s">
        <v>45</v>
      </c>
      <c r="P10" s="2">
        <v>10525</v>
      </c>
      <c r="Q10" s="5">
        <v>200100123456</v>
      </c>
      <c r="R10" s="2" t="s">
        <v>46</v>
      </c>
      <c r="S10" s="2">
        <v>3.74</v>
      </c>
      <c r="T10" s="2">
        <f>J10*S10</f>
        <v>748</v>
      </c>
      <c r="U10" s="2"/>
      <c r="V10" s="2">
        <v>0</v>
      </c>
      <c r="W10" s="2">
        <v>0</v>
      </c>
      <c r="X10" s="2"/>
      <c r="Y10" s="2">
        <v>0</v>
      </c>
      <c r="Z10" s="2">
        <v>987</v>
      </c>
      <c r="AA10" s="2">
        <v>9001025455</v>
      </c>
      <c r="AB10" s="2" t="s">
        <v>47</v>
      </c>
      <c r="AC10" s="2">
        <v>4.1500000000000004</v>
      </c>
      <c r="AD10" s="2">
        <f>AC10*J10</f>
        <v>830.00000000000011</v>
      </c>
      <c r="AE10" s="2">
        <v>9690</v>
      </c>
      <c r="AF10" s="2" t="s">
        <v>9</v>
      </c>
      <c r="AG10" s="2"/>
      <c r="AH10" s="2">
        <v>0</v>
      </c>
      <c r="AI10" s="2" t="s">
        <v>9</v>
      </c>
      <c r="AJ10" s="2">
        <v>0</v>
      </c>
    </row>
    <row r="11" spans="1:36" x14ac:dyDescent="0.25">
      <c r="A11" s="6" t="s">
        <v>79</v>
      </c>
      <c r="B11" s="3" t="s">
        <v>26</v>
      </c>
      <c r="C11" s="2" t="s">
        <v>12</v>
      </c>
      <c r="D11" s="2" t="s">
        <v>22</v>
      </c>
      <c r="E11" s="2"/>
      <c r="F11" s="2"/>
      <c r="G11" s="2">
        <v>0</v>
      </c>
      <c r="H11" s="2" t="s">
        <v>4</v>
      </c>
      <c r="I11" s="2" t="s">
        <v>23</v>
      </c>
      <c r="J11" s="2">
        <v>50</v>
      </c>
      <c r="K11" s="2" t="s">
        <v>2</v>
      </c>
      <c r="L11" s="2">
        <v>46464656</v>
      </c>
      <c r="M11" s="2" t="s">
        <v>20</v>
      </c>
      <c r="N11" s="2">
        <v>0</v>
      </c>
      <c r="O11" s="2"/>
      <c r="P11" s="2">
        <v>0</v>
      </c>
      <c r="Q11" s="5">
        <v>0</v>
      </c>
      <c r="R11" s="2"/>
      <c r="S11" s="2">
        <v>0</v>
      </c>
      <c r="T11" s="2">
        <v>0</v>
      </c>
      <c r="U11" s="2"/>
      <c r="V11" s="2">
        <v>0</v>
      </c>
      <c r="W11" s="2">
        <v>0</v>
      </c>
      <c r="X11" s="2"/>
      <c r="Y11" s="2">
        <v>0</v>
      </c>
      <c r="Z11" s="2">
        <v>0</v>
      </c>
      <c r="AA11" s="2">
        <v>0</v>
      </c>
      <c r="AB11" s="2"/>
      <c r="AC11" s="2">
        <v>0</v>
      </c>
      <c r="AD11" s="2">
        <v>0</v>
      </c>
      <c r="AE11" s="2">
        <v>9700</v>
      </c>
      <c r="AF11" s="2" t="s">
        <v>9</v>
      </c>
      <c r="AG11" s="2"/>
      <c r="AH11" s="2">
        <v>0</v>
      </c>
      <c r="AI11" s="2" t="s">
        <v>9</v>
      </c>
      <c r="AJ11" s="2">
        <v>0</v>
      </c>
    </row>
    <row r="12" spans="1:36" x14ac:dyDescent="0.25">
      <c r="Y12" s="17"/>
    </row>
    <row r="13" spans="1:36" x14ac:dyDescent="0.25">
      <c r="Y13" s="17"/>
    </row>
    <row r="14" spans="1:36" x14ac:dyDescent="0.25">
      <c r="Y14" s="17"/>
    </row>
    <row r="15" spans="1:36" x14ac:dyDescent="0.25">
      <c r="Y15" s="17"/>
    </row>
  </sheetData>
  <mergeCells count="6">
    <mergeCell ref="Z4:AD4"/>
    <mergeCell ref="AI4:AJ4"/>
    <mergeCell ref="A5:A10"/>
    <mergeCell ref="AF4:AH4"/>
    <mergeCell ref="U4:Y4"/>
    <mergeCell ref="N4:T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workbookViewId="0"/>
  </sheetViews>
  <sheetFormatPr baseColWidth="10" defaultRowHeight="15" x14ac:dyDescent="0.25"/>
  <cols>
    <col min="1" max="1" width="20.28515625" customWidth="1"/>
    <col min="6" max="6" width="13.7109375" style="1" customWidth="1"/>
    <col min="16" max="16" width="18.28515625" customWidth="1"/>
  </cols>
  <sheetData>
    <row r="1" spans="1:35" x14ac:dyDescent="0.25">
      <c r="A1" s="3" t="s">
        <v>27</v>
      </c>
      <c r="B1" s="2" t="s">
        <v>31</v>
      </c>
      <c r="C1" s="2" t="s">
        <v>32</v>
      </c>
      <c r="D1" s="2" t="s">
        <v>34</v>
      </c>
      <c r="E1" s="2"/>
      <c r="F1" s="2">
        <v>6800045896</v>
      </c>
      <c r="G1" s="2" t="s">
        <v>4</v>
      </c>
      <c r="H1" s="2" t="s">
        <v>19</v>
      </c>
      <c r="I1" s="2">
        <v>78</v>
      </c>
      <c r="J1" s="2" t="s">
        <v>2</v>
      </c>
      <c r="K1" s="2">
        <v>9568574</v>
      </c>
      <c r="L1" s="2" t="s">
        <v>20</v>
      </c>
      <c r="M1" s="2">
        <v>78996548</v>
      </c>
      <c r="N1" s="2" t="s">
        <v>35</v>
      </c>
      <c r="O1" s="2">
        <v>956</v>
      </c>
      <c r="P1" s="5">
        <v>200100123456</v>
      </c>
      <c r="Q1" s="2" t="s">
        <v>36</v>
      </c>
      <c r="R1" s="2">
        <v>3.74</v>
      </c>
      <c r="S1" s="2">
        <f>I1*R1</f>
        <v>291.72000000000003</v>
      </c>
      <c r="T1" s="2"/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9576</v>
      </c>
      <c r="AE1" s="2" t="s">
        <v>66</v>
      </c>
      <c r="AF1" s="2">
        <v>559</v>
      </c>
      <c r="AG1" s="2">
        <v>15</v>
      </c>
      <c r="AH1" s="2" t="s">
        <v>9</v>
      </c>
      <c r="AI1" s="2">
        <v>0</v>
      </c>
    </row>
    <row r="2" spans="1:35" x14ac:dyDescent="0.25">
      <c r="A2" s="3" t="s">
        <v>28</v>
      </c>
      <c r="B2" s="2" t="s">
        <v>31</v>
      </c>
      <c r="C2" s="2" t="s">
        <v>33</v>
      </c>
      <c r="D2" s="2" t="s">
        <v>37</v>
      </c>
      <c r="E2" s="2">
        <v>1</v>
      </c>
      <c r="F2" s="2">
        <v>6800045234</v>
      </c>
      <c r="G2" s="2" t="s">
        <v>4</v>
      </c>
      <c r="H2" s="2" t="s">
        <v>19</v>
      </c>
      <c r="I2" s="2">
        <v>2300</v>
      </c>
      <c r="J2" s="2" t="s">
        <v>2</v>
      </c>
      <c r="K2" s="2">
        <v>9568574</v>
      </c>
      <c r="L2" s="2" t="s">
        <v>38</v>
      </c>
      <c r="M2" s="2">
        <v>6532847</v>
      </c>
      <c r="N2" s="2" t="s">
        <v>39</v>
      </c>
      <c r="O2" s="2">
        <v>10524</v>
      </c>
      <c r="P2" s="5">
        <v>200100123456</v>
      </c>
      <c r="Q2" s="2" t="s">
        <v>40</v>
      </c>
      <c r="R2" s="2">
        <v>3.74</v>
      </c>
      <c r="S2" s="2">
        <f>I2*R2</f>
        <v>8602</v>
      </c>
      <c r="T2" s="2"/>
      <c r="U2" s="2">
        <v>0</v>
      </c>
      <c r="V2" s="2">
        <v>0</v>
      </c>
      <c r="W2" s="2"/>
      <c r="X2" s="2">
        <v>0</v>
      </c>
      <c r="Y2" s="2">
        <v>0</v>
      </c>
      <c r="Z2" s="2">
        <v>0</v>
      </c>
      <c r="AA2" s="2"/>
      <c r="AB2" s="2">
        <v>0</v>
      </c>
      <c r="AC2" s="2">
        <v>0</v>
      </c>
      <c r="AD2" s="2">
        <v>9678</v>
      </c>
      <c r="AE2" s="2" t="s">
        <v>9</v>
      </c>
      <c r="AF2" s="2"/>
      <c r="AG2" s="2">
        <v>0</v>
      </c>
      <c r="AH2" s="2" t="s">
        <v>54</v>
      </c>
      <c r="AI2" s="2">
        <v>984555</v>
      </c>
    </row>
    <row r="3" spans="1:35" x14ac:dyDescent="0.25">
      <c r="A3" s="3" t="s">
        <v>29</v>
      </c>
      <c r="B3" s="2" t="s">
        <v>31</v>
      </c>
      <c r="C3" s="2" t="s">
        <v>32</v>
      </c>
      <c r="D3" s="2" t="s">
        <v>41</v>
      </c>
      <c r="E3" s="2"/>
      <c r="F3" s="2">
        <v>6800000145</v>
      </c>
      <c r="G3" s="2" t="s">
        <v>4</v>
      </c>
      <c r="H3" s="2" t="s">
        <v>19</v>
      </c>
      <c r="I3" s="2">
        <v>80</v>
      </c>
      <c r="J3" s="2" t="s">
        <v>2</v>
      </c>
      <c r="K3" s="2">
        <v>9568574</v>
      </c>
      <c r="L3" s="2" t="s">
        <v>42</v>
      </c>
      <c r="M3" s="2">
        <v>6532847</v>
      </c>
      <c r="N3" s="2" t="s">
        <v>39</v>
      </c>
      <c r="O3" s="2">
        <v>10524</v>
      </c>
      <c r="P3" s="5">
        <v>200100123456</v>
      </c>
      <c r="Q3" s="2"/>
      <c r="R3" s="2">
        <v>0</v>
      </c>
      <c r="S3" s="2">
        <v>0</v>
      </c>
      <c r="T3" s="2" t="s">
        <v>71</v>
      </c>
      <c r="U3" s="2">
        <v>3.74</v>
      </c>
      <c r="V3" s="2">
        <v>299.2</v>
      </c>
      <c r="W3" s="2"/>
      <c r="X3" s="2">
        <v>0</v>
      </c>
      <c r="Y3" s="2">
        <v>0</v>
      </c>
      <c r="Z3" s="2">
        <v>0</v>
      </c>
      <c r="AA3" s="2"/>
      <c r="AB3" s="2">
        <v>0</v>
      </c>
      <c r="AC3" s="2">
        <v>0</v>
      </c>
      <c r="AD3" s="2">
        <v>9680</v>
      </c>
      <c r="AE3" s="2" t="s">
        <v>9</v>
      </c>
      <c r="AF3" s="2"/>
      <c r="AG3" s="2">
        <v>0</v>
      </c>
      <c r="AH3" s="2" t="s">
        <v>9</v>
      </c>
      <c r="AI3" s="2">
        <v>0</v>
      </c>
    </row>
    <row r="4" spans="1:35" x14ac:dyDescent="0.25">
      <c r="A4" s="3" t="s">
        <v>29</v>
      </c>
      <c r="B4" s="2" t="s">
        <v>31</v>
      </c>
      <c r="C4" s="2" t="s">
        <v>32</v>
      </c>
      <c r="D4" s="2" t="s">
        <v>73</v>
      </c>
      <c r="E4" s="2"/>
      <c r="F4" s="2">
        <v>6800012548</v>
      </c>
      <c r="G4" s="2" t="s">
        <v>4</v>
      </c>
      <c r="H4" s="2" t="s">
        <v>19</v>
      </c>
      <c r="I4" s="2">
        <v>30</v>
      </c>
      <c r="J4" s="2" t="s">
        <v>2</v>
      </c>
      <c r="K4" s="2">
        <v>4353534</v>
      </c>
      <c r="L4" s="2" t="s">
        <v>42</v>
      </c>
      <c r="M4" s="2">
        <v>757564545</v>
      </c>
      <c r="N4" s="2" t="s">
        <v>74</v>
      </c>
      <c r="O4" s="2">
        <v>10552</v>
      </c>
      <c r="P4" s="5">
        <v>200100123456</v>
      </c>
      <c r="Q4" s="2" t="s">
        <v>75</v>
      </c>
      <c r="R4" s="2">
        <v>3.74</v>
      </c>
      <c r="S4" s="2">
        <v>112.2</v>
      </c>
      <c r="T4" s="2">
        <v>53423</v>
      </c>
      <c r="U4" s="2">
        <v>0</v>
      </c>
      <c r="V4" s="2">
        <v>0</v>
      </c>
      <c r="W4" s="2"/>
      <c r="X4" s="2">
        <v>0</v>
      </c>
      <c r="Y4" s="2">
        <v>0</v>
      </c>
      <c r="Z4" s="2">
        <v>0</v>
      </c>
      <c r="AA4" s="2"/>
      <c r="AB4" s="2">
        <v>0</v>
      </c>
      <c r="AC4" s="2">
        <v>0</v>
      </c>
      <c r="AD4" s="2">
        <v>788</v>
      </c>
      <c r="AE4" s="2" t="s">
        <v>9</v>
      </c>
      <c r="AF4" s="2"/>
      <c r="AG4" s="2">
        <v>0</v>
      </c>
      <c r="AH4" s="2" t="s">
        <v>9</v>
      </c>
      <c r="AI4" s="2">
        <v>0</v>
      </c>
    </row>
    <row r="5" spans="1:35" x14ac:dyDescent="0.25">
      <c r="A5" s="3" t="s">
        <v>61</v>
      </c>
      <c r="B5" s="2" t="s">
        <v>31</v>
      </c>
      <c r="C5" s="2" t="s">
        <v>32</v>
      </c>
      <c r="D5" s="2" t="s">
        <v>62</v>
      </c>
      <c r="E5" s="2"/>
      <c r="F5" s="2">
        <v>0</v>
      </c>
      <c r="G5" s="2" t="s">
        <v>4</v>
      </c>
      <c r="H5" s="2" t="s">
        <v>19</v>
      </c>
      <c r="I5" s="2">
        <v>20</v>
      </c>
      <c r="J5" s="2" t="s">
        <v>2</v>
      </c>
      <c r="K5" s="2">
        <v>7895465</v>
      </c>
      <c r="L5" s="2" t="s">
        <v>20</v>
      </c>
      <c r="M5" s="2">
        <v>34664564</v>
      </c>
      <c r="N5" s="2" t="s">
        <v>63</v>
      </c>
      <c r="O5" s="2">
        <v>10559</v>
      </c>
      <c r="P5" s="5">
        <v>200100123456</v>
      </c>
      <c r="Q5" s="2" t="s">
        <v>64</v>
      </c>
      <c r="R5" s="2">
        <v>3.74</v>
      </c>
      <c r="S5" s="2">
        <v>74.8</v>
      </c>
      <c r="T5" s="2"/>
      <c r="U5" s="2">
        <v>0</v>
      </c>
      <c r="V5" s="2">
        <v>0</v>
      </c>
      <c r="W5" s="2"/>
      <c r="X5" s="2">
        <v>0</v>
      </c>
      <c r="Y5" s="2">
        <v>0</v>
      </c>
      <c r="Z5" s="2">
        <v>0</v>
      </c>
      <c r="AA5" s="2"/>
      <c r="AB5" s="2">
        <v>0</v>
      </c>
      <c r="AC5" s="2">
        <v>0</v>
      </c>
      <c r="AD5" s="2">
        <v>65</v>
      </c>
      <c r="AE5" s="2" t="s">
        <v>9</v>
      </c>
      <c r="AF5" s="2"/>
      <c r="AG5" s="2">
        <v>0</v>
      </c>
      <c r="AH5" s="2" t="s">
        <v>9</v>
      </c>
      <c r="AI5" s="2">
        <v>0</v>
      </c>
    </row>
    <row r="6" spans="1:35" x14ac:dyDescent="0.25">
      <c r="A6" s="3" t="s">
        <v>30</v>
      </c>
      <c r="B6" s="2" t="s">
        <v>31</v>
      </c>
      <c r="C6" s="2" t="s">
        <v>32</v>
      </c>
      <c r="D6" s="2" t="s">
        <v>43</v>
      </c>
      <c r="E6" s="2"/>
      <c r="F6" s="2">
        <v>6859421587</v>
      </c>
      <c r="G6" s="2" t="s">
        <v>44</v>
      </c>
      <c r="H6" s="2" t="s">
        <v>19</v>
      </c>
      <c r="I6" s="2">
        <v>200</v>
      </c>
      <c r="J6" s="2" t="s">
        <v>2</v>
      </c>
      <c r="K6" s="2">
        <v>9568574</v>
      </c>
      <c r="L6" s="2" t="s">
        <v>20</v>
      </c>
      <c r="M6" s="2">
        <v>45468986</v>
      </c>
      <c r="N6" s="2" t="s">
        <v>45</v>
      </c>
      <c r="O6" s="2">
        <v>10525</v>
      </c>
      <c r="P6" s="5">
        <v>200100123456</v>
      </c>
      <c r="Q6" s="2" t="s">
        <v>46</v>
      </c>
      <c r="R6" s="2">
        <v>3.74</v>
      </c>
      <c r="S6" s="2">
        <f>I6*R6</f>
        <v>748</v>
      </c>
      <c r="T6" s="2"/>
      <c r="U6" s="2">
        <v>0</v>
      </c>
      <c r="V6" s="2">
        <v>0</v>
      </c>
      <c r="W6" s="2"/>
      <c r="X6" s="2">
        <v>0</v>
      </c>
      <c r="Y6" s="2">
        <v>987</v>
      </c>
      <c r="Z6" s="2">
        <v>9001025455</v>
      </c>
      <c r="AA6" s="2" t="s">
        <v>47</v>
      </c>
      <c r="AB6" s="2">
        <v>4.1500000000000004</v>
      </c>
      <c r="AC6" s="2">
        <f>AB6*I6</f>
        <v>830.00000000000011</v>
      </c>
      <c r="AD6" s="2">
        <v>9690</v>
      </c>
      <c r="AE6" s="2" t="s">
        <v>9</v>
      </c>
      <c r="AF6" s="2"/>
      <c r="AG6" s="2">
        <v>0</v>
      </c>
      <c r="AH6" s="2" t="s">
        <v>9</v>
      </c>
      <c r="AI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baseColWidth="10" defaultRowHeight="15" x14ac:dyDescent="0.25"/>
  <cols>
    <col min="6" max="6" width="11.42578125" style="1"/>
    <col min="32" max="32" width="11.42578125" style="17"/>
  </cols>
  <sheetData>
    <row r="1" spans="1:35" x14ac:dyDescent="0.25">
      <c r="A1" s="3" t="s">
        <v>26</v>
      </c>
      <c r="B1" s="2" t="s">
        <v>12</v>
      </c>
      <c r="C1" s="2" t="s">
        <v>22</v>
      </c>
      <c r="D1" s="2"/>
      <c r="E1" s="2"/>
      <c r="F1" s="2">
        <v>0</v>
      </c>
      <c r="G1" s="2" t="s">
        <v>4</v>
      </c>
      <c r="H1" s="2" t="s">
        <v>23</v>
      </c>
      <c r="I1" s="2">
        <v>50</v>
      </c>
      <c r="J1" s="2" t="s">
        <v>2</v>
      </c>
      <c r="K1" s="2">
        <v>46464656</v>
      </c>
      <c r="L1" s="2" t="s">
        <v>20</v>
      </c>
      <c r="M1" s="2">
        <v>0</v>
      </c>
      <c r="N1" s="2"/>
      <c r="O1" s="2">
        <v>0</v>
      </c>
      <c r="P1" s="5">
        <v>0</v>
      </c>
      <c r="Q1" s="2"/>
      <c r="R1" s="2">
        <v>0</v>
      </c>
      <c r="S1" s="2">
        <v>0</v>
      </c>
      <c r="T1" s="2"/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9700</v>
      </c>
      <c r="AE1" s="2" t="s">
        <v>9</v>
      </c>
      <c r="AF1" s="2"/>
      <c r="AG1" s="2">
        <v>0</v>
      </c>
      <c r="AH1" s="2" t="s">
        <v>9</v>
      </c>
      <c r="AI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Despachos</vt:lpstr>
      <vt:lpstr>Ejm. SalidaXVenta</vt:lpstr>
      <vt:lpstr>Ejm. SalidaXMerma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cp:lastPrinted>2016-11-23T22:04:17Z</cp:lastPrinted>
  <dcterms:created xsi:type="dcterms:W3CDTF">2016-04-19T13:46:13Z</dcterms:created>
  <dcterms:modified xsi:type="dcterms:W3CDTF">2022-03-04T18:48:29Z</dcterms:modified>
</cp:coreProperties>
</file>