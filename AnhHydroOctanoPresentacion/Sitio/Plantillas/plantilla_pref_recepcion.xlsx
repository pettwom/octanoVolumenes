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2020\AnhHydroOctanoVolumenes\OctanoVolumenes\AnhHydroOctanoPresentacion\Sitio\Plantillas\"/>
    </mc:Choice>
  </mc:AlternateContent>
  <bookViews>
    <workbookView xWindow="0" yWindow="-60" windowWidth="20400" windowHeight="2865"/>
  </bookViews>
  <sheets>
    <sheet name="Detalle de Transporte Cisterna" sheetId="2" r:id="rId1"/>
    <sheet name="Ejempl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6" i="2" l="1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</calcChain>
</file>

<file path=xl/comments1.xml><?xml version="1.0" encoding="utf-8"?>
<comments xmlns="http://schemas.openxmlformats.org/spreadsheetml/2006/main">
  <authors>
    <author>DCM - Samuel Gerardo Ayaviri Sanjines</author>
  </authors>
  <commentList>
    <comment ref="I24" authorId="0" shapeId="0">
      <text>
        <r>
          <rPr>
            <b/>
            <sz val="9"/>
            <color indexed="81"/>
            <rFont val="Tahoma"/>
            <family val="2"/>
          </rPr>
          <t xml:space="preserve">DCM - Samuel Gerardo Ayaviri Sanjien 
</t>
        </r>
        <r>
          <rPr>
            <sz val="9"/>
            <color indexed="81"/>
            <rFont val="Tahoma"/>
            <family val="2"/>
          </rPr>
          <t xml:space="preserve">EN PAHL NO SE CUENTA CON LA CODIFICACIÓN DEL CISTERNA 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NO CORRESPONDE A LAACTIVIDAD DE PAHL</t>
        </r>
      </text>
    </comment>
    <comment ref="V24" authorId="0" shapeId="0">
      <text>
        <r>
          <rPr>
            <b/>
            <sz val="9"/>
            <color indexed="81"/>
            <rFont val="Tahoma"/>
            <family val="2"/>
          </rPr>
          <t xml:space="preserve">DCM - Samuel Gerardo Ayaviri Sanjines:
</t>
        </r>
        <r>
          <rPr>
            <sz val="9"/>
            <color indexed="81"/>
            <rFont val="Tahoma"/>
            <family val="2"/>
          </rPr>
          <t xml:space="preserve"> CONSULTAR A QUE SE REFIERE NOTA DE VENTA 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NO CORRESPONDE A LAS PAHL</t>
        </r>
      </text>
    </comment>
    <comment ref="X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NO CORRESPONDE PARA PAHL</t>
        </r>
      </text>
    </comment>
    <comment ref="Y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NO CORRESPONDE A PAHL</t>
        </r>
      </text>
    </comment>
    <comment ref="AA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NO CORRESPONDE A PAHL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SE DEBEN CAMBIAR LOS PRODUCTOS QUE SON DESPACHADOS POR LA PAHL </t>
        </r>
      </text>
    </comment>
    <comment ref="AF24" authorId="0" shapeId="0">
      <text>
        <r>
          <rPr>
            <b/>
            <sz val="9"/>
            <color indexed="81"/>
            <rFont val="Tahoma"/>
            <family val="2"/>
          </rPr>
          <t>DCM - Samuel Gerardo Ayaviri Sanjines:</t>
        </r>
        <r>
          <rPr>
            <sz val="9"/>
            <color indexed="81"/>
            <rFont val="Tahoma"/>
            <family val="2"/>
          </rPr>
          <t xml:space="preserve">
VOLUMEN EN LITROS</t>
        </r>
      </text>
    </comment>
  </commentList>
</comments>
</file>

<file path=xl/sharedStrings.xml><?xml version="1.0" encoding="utf-8"?>
<sst xmlns="http://schemas.openxmlformats.org/spreadsheetml/2006/main" count="610" uniqueCount="203">
  <si>
    <t>DUI</t>
  </si>
  <si>
    <t>TIPO DE OPERACIÓN\COLUMNA CSV</t>
  </si>
  <si>
    <t>Texto</t>
  </si>
  <si>
    <t>2018/621/C-00707</t>
  </si>
  <si>
    <t xml:space="preserve">Numerico                   </t>
  </si>
  <si>
    <t>VITOL</t>
  </si>
  <si>
    <t>S1803095</t>
  </si>
  <si>
    <t>S1803289</t>
  </si>
  <si>
    <t>HARDY</t>
  </si>
  <si>
    <t>6.73</t>
  </si>
  <si>
    <t>0.88</t>
  </si>
  <si>
    <t>ORURO</t>
  </si>
  <si>
    <t>PANDO</t>
  </si>
  <si>
    <t>.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</si>
  <si>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"," (Coma)</t>
    </r>
  </si>
  <si>
    <t>RECEPCION</t>
  </si>
  <si>
    <t>TK</t>
  </si>
  <si>
    <t>TK-J01</t>
  </si>
  <si>
    <t>INTERNO</t>
  </si>
  <si>
    <t>BOLIVIA</t>
  </si>
  <si>
    <t>AS/DDF/345/19</t>
  </si>
  <si>
    <t>56-A3-FF-C7</t>
  </si>
  <si>
    <t>REFINERIA X</t>
  </si>
  <si>
    <t>CRE0001</t>
  </si>
  <si>
    <t>V</t>
  </si>
  <si>
    <t>CR</t>
  </si>
  <si>
    <t>L002</t>
  </si>
  <si>
    <t>AA-36-C4-F5</t>
  </si>
  <si>
    <t>IMPORTADORA SRL</t>
  </si>
  <si>
    <t>CRE0002</t>
  </si>
  <si>
    <t>CI</t>
  </si>
  <si>
    <t>1234ABC</t>
  </si>
  <si>
    <t>45154|9865</t>
  </si>
  <si>
    <t>TQ2423-001</t>
  </si>
  <si>
    <t>TK-G01</t>
  </si>
  <si>
    <t>DU</t>
  </si>
  <si>
    <t>DU876652/45</t>
  </si>
  <si>
    <t>CAMPO GRANDE</t>
  </si>
  <si>
    <t>BRASIL</t>
  </si>
  <si>
    <t>PLA334</t>
  </si>
  <si>
    <t>L003</t>
  </si>
  <si>
    <t>CRE0003</t>
  </si>
  <si>
    <t>A</t>
  </si>
  <si>
    <t>PROYECTO ORIGEN</t>
  </si>
  <si>
    <t>PAIS</t>
  </si>
  <si>
    <t>IDENTIFICADOR</t>
  </si>
  <si>
    <t>LOTE</t>
  </si>
  <si>
    <t>NRO RECINTO</t>
  </si>
  <si>
    <t>CODIGO TANQUE CISTERNA</t>
  </si>
  <si>
    <t>NRO FACTURA</t>
  </si>
  <si>
    <t>CODIGO CONTROL</t>
  </si>
  <si>
    <t>NRO AUTORIZACION</t>
  </si>
  <si>
    <t>NIT</t>
  </si>
  <si>
    <t>RAZON SOCIAL</t>
  </si>
  <si>
    <t>NRO REFERENCIA</t>
  </si>
  <si>
    <t>CERTIFICADO RECEPCION</t>
  </si>
  <si>
    <t>CI USUARIO</t>
  </si>
  <si>
    <t>ESTADO</t>
  </si>
  <si>
    <t>PRODUCTO</t>
  </si>
  <si>
    <t>CANTIDAD</t>
  </si>
  <si>
    <t>PRECIO</t>
  </si>
  <si>
    <t>IMPORTE</t>
  </si>
  <si>
    <t>FECHA Y HORA</t>
  </si>
  <si>
    <t>NUMERO ID SISTEMA ORIGEN</t>
  </si>
  <si>
    <t>TEMPERATURA C°</t>
  </si>
  <si>
    <t>GRAVEDAD ESPECIFICA</t>
  </si>
  <si>
    <t>IDENTIFICADOR (CIP)</t>
  </si>
  <si>
    <t>LOTE (CIP)</t>
  </si>
  <si>
    <t>NRO PRECINTOS (CIP)</t>
  </si>
  <si>
    <t xml:space="preserve">CODIGO TANQUE CISTERNA </t>
  </si>
  <si>
    <t>NUMERO DE FACTURA</t>
  </si>
  <si>
    <t>NUMERO AUTORIZACION</t>
  </si>
  <si>
    <t>COD. CTRL</t>
  </si>
  <si>
    <t>NUMERO REFERENCIA (NOTA DE RECEPCION)</t>
  </si>
  <si>
    <t>CERTIFICADO DE RECEPCION (CRE)</t>
  </si>
  <si>
    <t>AUTORIZACION DE COMPRA LOCAL - SUSTANCIAS CONTROLADAS (ACL)</t>
  </si>
  <si>
    <t>CITE CALIDAD (CIP)</t>
  </si>
  <si>
    <t>C.I. USUARIO (CIP)</t>
  </si>
  <si>
    <t>Numerico</t>
  </si>
  <si>
    <t>DOC - FACTURA</t>
  </si>
  <si>
    <t>DOC - PRINCIPAL</t>
  </si>
  <si>
    <t>DOC - CRE</t>
  </si>
  <si>
    <t>DOC - SUST.CONT.</t>
  </si>
  <si>
    <t>DOC - CALIDAD</t>
  </si>
  <si>
    <t>TK-JF01</t>
  </si>
  <si>
    <t>AREA COCHABAMBA</t>
  </si>
  <si>
    <t>NOID</t>
  </si>
  <si>
    <t>CODDUCTO</t>
  </si>
  <si>
    <t>CAL-001|CALAUX-001</t>
  </si>
  <si>
    <t>JFA1</t>
  </si>
  <si>
    <t>AREA SANTA CRUZ</t>
  </si>
  <si>
    <t>CS</t>
  </si>
  <si>
    <t>PLA454</t>
  </si>
  <si>
    <t>CAL-002</t>
  </si>
  <si>
    <t>RF</t>
  </si>
  <si>
    <t>RF-JF01</t>
  </si>
  <si>
    <t>AVG100</t>
  </si>
  <si>
    <t>TK-AVG01</t>
  </si>
  <si>
    <t>TK-AVG02</t>
  </si>
  <si>
    <t>VIRU VIRU</t>
  </si>
  <si>
    <t>CAL-005</t>
  </si>
  <si>
    <t>TIPO DE INFRAESTRUCTURA RECEPTOR
TK = TANQUE</t>
  </si>
  <si>
    <t>INFRAESTRUCTURA RECEPTOR (CODIGO OPERADOR REGISTRADO EN INFRAESTRUCTURA)</t>
  </si>
  <si>
    <t>INFRAESTRUCTURA ORIGEN (CODIGO OPERADOR REGISTRADO EN INFRAESTRUCTURA)</t>
  </si>
  <si>
    <r>
      <t xml:space="preserve">TIPO DE INFRAESTRUCTURA ORIGEN
NOID = NO IDENTIFICADO
TK = TANQUE
DU = DUCTO
CS = CISTERNA
</t>
    </r>
    <r>
      <rPr>
        <b/>
        <sz val="8"/>
        <color rgb="FF00B050"/>
        <rFont val="Calibri"/>
        <family val="2"/>
      </rPr>
      <t>VF=VAGONES FERROVIARIOS
BB=BARCAZAS/BUQUES</t>
    </r>
  </si>
  <si>
    <r>
      <t xml:space="preserve">PRODUCTO
DO = DIESEL OIL
GE = GASOLINA ESPECIAL
</t>
    </r>
    <r>
      <rPr>
        <b/>
        <sz val="8"/>
        <color rgb="FF00B050"/>
        <rFont val="Calibri"/>
        <family val="2"/>
      </rPr>
      <t>GB81=GASOLINA BASE 81
KE=KEROSENE
ET=ETANOL ANHIDRO</t>
    </r>
    <r>
      <rPr>
        <b/>
        <sz val="8"/>
        <rFont val="Calibri"/>
        <family val="2"/>
      </rPr>
      <t xml:space="preserve">
</t>
    </r>
  </si>
  <si>
    <t xml:space="preserve">Numerico                         0 si no aplica </t>
  </si>
  <si>
    <t>Texto                         Vacio si no aplica</t>
  </si>
  <si>
    <t>Texto                                              Vacio si no aplica                               "|" Separador de Nros. De Precintos</t>
  </si>
  <si>
    <t xml:space="preserve">Numerico                                0 si no aplica </t>
  </si>
  <si>
    <t>Texto                                              Vacio si no aplica                               "|" Separador Doc. De Calidad</t>
  </si>
  <si>
    <t>Numerico                                                        Separador decimal "." (Punto)</t>
  </si>
  <si>
    <t>Numerico                                 0 si no aplica                            Separador decimal "." (Punto)</t>
  </si>
  <si>
    <t>Numero</t>
  </si>
  <si>
    <t>TIPO INFRAESTRUCTURA TK = TANQUE</t>
  </si>
  <si>
    <t xml:space="preserve"> 
PRODUCTO NACIONAL ="LUGAR DE PROCEDENCIA"
PRODUCTO IMPORTADO="LUGAR DE PROCEDENCIA"
TRANSFERENCIA =RAZON SOCIAL DE PAHL
MOVIMIENTO INTERNO= N° TK
</t>
  </si>
  <si>
    <t>texto</t>
  </si>
  <si>
    <t>NUMERO ID SISTEMA ORIGEN (OPCIONAL)</t>
  </si>
  <si>
    <r>
      <t xml:space="preserve">TIPO DE INFRAESTRUCTURA </t>
    </r>
    <r>
      <rPr>
        <b/>
        <sz val="14"/>
        <color theme="1"/>
        <rFont val="Calibri"/>
        <family val="2"/>
      </rPr>
      <t>DESPACHANTE</t>
    </r>
    <r>
      <rPr>
        <b/>
        <sz val="11"/>
        <color theme="1"/>
        <rFont val="Calibri"/>
        <family val="2"/>
      </rPr>
      <t xml:space="preserve">
NOID = NO IDENTIFICADO
TK = TANQUE
</t>
    </r>
  </si>
  <si>
    <r>
      <t xml:space="preserve">INFRAESTRUCTURA </t>
    </r>
    <r>
      <rPr>
        <b/>
        <sz val="14"/>
        <rFont val="Calibri"/>
        <family val="2"/>
      </rPr>
      <t>DESPACHANTE</t>
    </r>
    <r>
      <rPr>
        <b/>
        <sz val="11"/>
        <rFont val="Calibri"/>
        <family val="2"/>
      </rPr>
      <t xml:space="preserve"> (CODIGO OPERADOR REGISTRADO EN INFRAESTRUCTURA)</t>
    </r>
  </si>
  <si>
    <r>
      <t xml:space="preserve"> </t>
    </r>
    <r>
      <rPr>
        <b/>
        <sz val="11"/>
        <color rgb="FF00B050"/>
        <rFont val="Calibri"/>
        <family val="2"/>
      </rPr>
      <t xml:space="preserve">DESTINO  </t>
    </r>
    <r>
      <rPr>
        <b/>
        <sz val="11"/>
        <rFont val="Calibri"/>
        <family val="2"/>
      </rPr>
      <t xml:space="preserve">                         
NOID = NO IDENTIFICADO
</t>
    </r>
    <r>
      <rPr>
        <b/>
        <sz val="11"/>
        <color rgb="FF00B050"/>
        <rFont val="Calibri"/>
        <family val="2"/>
      </rPr>
      <t xml:space="preserve">DESPACHO MERCADO INTERNO= ESLIQ PROV; ESLIQ YPFB; ESLIQ LOCAL; CLIENTES DIRECTOS; GRACOS; PVLIQ; SISTEMA AISLADO
TRANSFERENCIA =RAZON SOCIAL DE PAHL
MOVIMIENTO INTERNO= N° TK
</t>
    </r>
  </si>
  <si>
    <r>
      <t xml:space="preserve">TIPO DE 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
TK = TANQUE
DU = DUCTO
CS = CISTERNA
</t>
    </r>
    <r>
      <rPr>
        <b/>
        <sz val="11"/>
        <color rgb="FF00B050"/>
        <rFont val="Calibri"/>
        <family val="2"/>
      </rPr>
      <t>VF=VAGON FERROVIARIO
BB= BARCAZA/BUQUE</t>
    </r>
  </si>
  <si>
    <r>
      <t xml:space="preserve">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 (CODIGO OPERADOR REGISTRADO EN INFRAESTRUCTURA)</t>
    </r>
  </si>
  <si>
    <t>GRAVEDAD ESPECIFICA (CIP)</t>
  </si>
  <si>
    <t>IDENTIFICADOR (MATRICULA/PLACA)</t>
  </si>
  <si>
    <t>CODIGO DE BARRA   B-SISA  SI CORRESPONDE A CISTERNA(CIP)</t>
  </si>
  <si>
    <t>CODIGO TANQUE CISTERNA (CIP)</t>
  </si>
  <si>
    <t>TIPO ENVASE P/DESPACHO
NOID = NO IDENTIFICADO
TAMB = TAMBOR
TURR = TURRIL
OTRO = OTROS</t>
  </si>
  <si>
    <t>NUMERO REFERENCIA (PARTE DE SALIDA)</t>
  </si>
  <si>
    <t>NUMERO DE VUELO</t>
  </si>
  <si>
    <t>CONDUCTOR</t>
  </si>
  <si>
    <t>N° LICENCIA</t>
  </si>
  <si>
    <t>AUTORIZACION SUST. CONTROLADAS</t>
  </si>
  <si>
    <t>HOJA DE RUTA</t>
  </si>
  <si>
    <t xml:space="preserve">CITE CALIDAD </t>
  </si>
  <si>
    <t xml:space="preserve">C.I. OPERADOR </t>
  </si>
  <si>
    <t>ESTADO
V = VALIDO
A = ANULADO</t>
  </si>
  <si>
    <t xml:space="preserve">PRODUCTO
</t>
  </si>
  <si>
    <t>r45</t>
  </si>
  <si>
    <t>MAT123445</t>
  </si>
  <si>
    <t>55-99-A2-C4</t>
  </si>
  <si>
    <t>SURTIDOR EL TORNO</t>
  </si>
  <si>
    <t>NV000785</t>
  </si>
  <si>
    <t>respVuelo</t>
  </si>
  <si>
    <t>MAT2424</t>
  </si>
  <si>
    <t>ESTACION DE SERVICIO EUSE CRUZ</t>
  </si>
  <si>
    <t>NV000786</t>
  </si>
  <si>
    <t>MAT6</t>
  </si>
  <si>
    <t>FREE PORT TERMINAL COMPANY LIMITED SUCURSAL BOLIVIA</t>
  </si>
  <si>
    <t>NV000787</t>
  </si>
  <si>
    <t>MAT476464</t>
  </si>
  <si>
    <t>ESTACION DE SERVICIO ICHILO S.R.L.</t>
  </si>
  <si>
    <t>NV000788</t>
  </si>
  <si>
    <t>MAT3454</t>
  </si>
  <si>
    <t>JARAJORECHI S.R.L.</t>
  </si>
  <si>
    <t>NV000789</t>
  </si>
  <si>
    <t>MAT75608</t>
  </si>
  <si>
    <t>ESTACIÓN DE SERVICIO LA CUEVA</t>
  </si>
  <si>
    <t>NV000790</t>
  </si>
  <si>
    <t>MAT346</t>
  </si>
  <si>
    <t>ESTACION DE SERVICIO LA ESQUINA</t>
  </si>
  <si>
    <t>NV000791</t>
  </si>
  <si>
    <t>MAT45</t>
  </si>
  <si>
    <t>ESTACIÓN DE SERVICIO "LA GUARDIA"</t>
  </si>
  <si>
    <t>NV000792</t>
  </si>
  <si>
    <t>MAT780</t>
  </si>
  <si>
    <t>ESTACION DE SERVICIO LAS CONCHAS S.R.L.</t>
  </si>
  <si>
    <t>NV000793</t>
  </si>
  <si>
    <t>PLA894</t>
  </si>
  <si>
    <t>TQ-PROP-01</t>
  </si>
  <si>
    <t>76-34-A4-F4</t>
  </si>
  <si>
    <t>ESTACION DE SERVICIO LIDO</t>
  </si>
  <si>
    <t>NV000794</t>
  </si>
  <si>
    <t>LUBRI-LIM (LUBRICANTES LIMBANIA)</t>
  </si>
  <si>
    <t>NV000795</t>
  </si>
  <si>
    <t>ESTACIÓN DE SERVICIO MACONDO</t>
  </si>
  <si>
    <t>NV000796</t>
  </si>
  <si>
    <t>ESTACION DE SERVICIO MINERO</t>
  </si>
  <si>
    <t>NV000797</t>
  </si>
  <si>
    <t>PLA4534</t>
  </si>
  <si>
    <t>TURR</t>
  </si>
  <si>
    <t>88-59-AF-55</t>
  </si>
  <si>
    <t>ESTACION DE SERVICIO SUR S.R.L.-SUCURSAL MONTE VERDE</t>
  </si>
  <si>
    <t>NV000798</t>
  </si>
  <si>
    <t>ESTACION DE SERVICIO MONTERO</t>
  </si>
  <si>
    <t>NV000799</t>
  </si>
  <si>
    <t>"MUYURINA LTDA"</t>
  </si>
  <si>
    <t>NV000800</t>
  </si>
  <si>
    <t>ARGENTINA</t>
  </si>
  <si>
    <t>MAT143577</t>
  </si>
  <si>
    <t>85-78-F3-0A</t>
  </si>
  <si>
    <t>ESTACIÓN DE SERVICIOS SAN IGNACIO DE VELASCO</t>
  </si>
  <si>
    <t>NV000801</t>
  </si>
  <si>
    <t>ESTACION DE SERVICIOS SAN JAVIER</t>
  </si>
  <si>
    <t>NV000802</t>
  </si>
  <si>
    <t>ESTACION DE SERVICIO SAN JOAQUIN</t>
  </si>
  <si>
    <t>NV000803</t>
  </si>
  <si>
    <t>ASOCIACION BOLIVIANO JAPONESA SAN JUAN DE YAPACANI</t>
  </si>
  <si>
    <t>NV000804</t>
  </si>
  <si>
    <t>SAN PEDRO DEL NORTE (INTERVENIDA)</t>
  </si>
  <si>
    <t>NV000805</t>
  </si>
  <si>
    <t>ESTACIÓN DE SERVICIO SAN SALVADOR</t>
  </si>
  <si>
    <t>NV000806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</si>
</sst>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1"/>
      <color rgb="FF00B050"/>
      <name val="Calibri"/>
      <family val="2"/>
    </font>
    <font>
      <b/>
      <sz val="9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</font>
    <font>
      <b/>
      <sz val="8"/>
      <color rgb="FF00B050"/>
      <name val="Calibri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3" borderId="5" applyNumberFormat="0" applyFont="0" applyAlignment="0" applyProtection="0"/>
  </cellStyleXfs>
  <cellXfs count="61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Border="1"/>
    <xf numFmtId="14" fontId="0" fillId="0" borderId="0" xfId="0" applyNumberFormat="1" applyBorder="1"/>
    <xf numFmtId="0" fontId="0" fillId="0" borderId="0" xfId="0" applyBorder="1"/>
    <xf numFmtId="1" fontId="0" fillId="0" borderId="0" xfId="0" applyNumberFormat="1" applyBorder="1"/>
    <xf numFmtId="0" fontId="0" fillId="0" borderId="0" xfId="0" applyAlignment="1">
      <alignment horizontal="center" vertical="center"/>
    </xf>
    <xf numFmtId="22" fontId="0" fillId="0" borderId="2" xfId="0" applyNumberFormat="1" applyBorder="1"/>
    <xf numFmtId="0" fontId="0" fillId="0" borderId="2" xfId="0" applyBorder="1"/>
    <xf numFmtId="49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0" fillId="0" borderId="2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1" fontId="3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/>
    <xf numFmtId="1" fontId="0" fillId="0" borderId="2" xfId="0" applyNumberFormat="1" applyFill="1" applyBorder="1"/>
    <xf numFmtId="0" fontId="2" fillId="2" borderId="2" xfId="0" applyFont="1" applyFill="1" applyBorder="1" applyAlignment="1">
      <alignment horizontal="center" vertical="center" wrapText="1"/>
    </xf>
    <xf numFmtId="22" fontId="0" fillId="0" borderId="2" xfId="0" applyNumberFormat="1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/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1" fontId="13" fillId="10" borderId="2" xfId="0" applyNumberFormat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" fontId="6" fillId="3" borderId="5" xfId="1" applyNumberFormat="1" applyFont="1" applyAlignment="1">
      <alignment horizontal="center" vertical="center" wrapText="1"/>
    </xf>
    <xf numFmtId="0" fontId="2" fillId="9" borderId="5" xfId="1" applyFont="1" applyFill="1" applyAlignment="1">
      <alignment horizontal="center" vertical="center" wrapText="1"/>
    </xf>
    <xf numFmtId="1" fontId="3" fillId="9" borderId="5" xfId="1" applyNumberFormat="1" applyFont="1" applyFill="1" applyAlignment="1">
      <alignment horizontal="center" vertical="center" wrapText="1"/>
    </xf>
    <xf numFmtId="1" fontId="10" fillId="3" borderId="5" xfId="1" applyNumberFormat="1" applyFont="1" applyAlignment="1">
      <alignment horizontal="center" vertical="center" wrapText="1"/>
    </xf>
    <xf numFmtId="0" fontId="18" fillId="3" borderId="5" xfId="1" applyFont="1" applyAlignment="1">
      <alignment horizontal="center" vertical="center" wrapText="1"/>
    </xf>
    <xf numFmtId="22" fontId="0" fillId="0" borderId="2" xfId="0" applyNumberFormat="1" applyFont="1" applyFill="1" applyBorder="1"/>
    <xf numFmtId="1" fontId="7" fillId="0" borderId="2" xfId="0" applyNumberFormat="1" applyFont="1" applyFill="1" applyBorder="1"/>
    <xf numFmtId="0" fontId="19" fillId="0" borderId="2" xfId="0" applyFont="1" applyFill="1" applyBorder="1"/>
    <xf numFmtId="0" fontId="19" fillId="9" borderId="2" xfId="0" applyFont="1" applyFill="1" applyBorder="1"/>
    <xf numFmtId="1" fontId="20" fillId="9" borderId="2" xfId="0" applyNumberFormat="1" applyFont="1" applyFill="1" applyBorder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6"/>
  <sheetViews>
    <sheetView tabSelected="1" workbookViewId="0">
      <selection activeCell="H3" sqref="H3"/>
    </sheetView>
  </sheetViews>
  <sheetFormatPr baseColWidth="10" defaultRowHeight="15" x14ac:dyDescent="0.25"/>
  <cols>
    <col min="1" max="1" width="22.42578125" bestFit="1" customWidth="1"/>
    <col min="2" max="2" width="22.42578125" customWidth="1"/>
    <col min="3" max="3" width="18.42578125" bestFit="1" customWidth="1"/>
    <col min="4" max="4" width="18.140625" bestFit="1" customWidth="1"/>
    <col min="5" max="5" width="20.140625" bestFit="1" customWidth="1"/>
    <col min="6" max="6" width="19.85546875" customWidth="1"/>
    <col min="7" max="7" width="12.5703125" bestFit="1" customWidth="1"/>
    <col min="8" max="8" width="12.5703125" style="17" customWidth="1"/>
    <col min="9" max="9" width="20.140625" bestFit="1" customWidth="1"/>
    <col min="10" max="10" width="13.140625" bestFit="1" customWidth="1"/>
    <col min="11" max="12" width="15.140625" bestFit="1" customWidth="1"/>
    <col min="13" max="13" width="15.7109375" bestFit="1" customWidth="1"/>
    <col min="14" max="14" width="20" bestFit="1" customWidth="1"/>
    <col min="15" max="15" width="17" bestFit="1" customWidth="1"/>
    <col min="16" max="16" width="15.85546875" bestFit="1" customWidth="1"/>
    <col min="17" max="17" width="12" bestFit="1" customWidth="1"/>
    <col min="20" max="20" width="12.5703125" bestFit="1" customWidth="1"/>
  </cols>
  <sheetData>
    <row r="1" spans="1:31" x14ac:dyDescent="0.25"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/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8">
        <v>19</v>
      </c>
      <c r="W1" s="8">
        <v>20</v>
      </c>
      <c r="X1" s="8">
        <v>21</v>
      </c>
      <c r="Y1" s="8">
        <v>22</v>
      </c>
      <c r="Z1" s="8">
        <v>23</v>
      </c>
    </row>
    <row r="2" spans="1:31" ht="45" customHeight="1" x14ac:dyDescent="0.25">
      <c r="A2" s="14" t="s">
        <v>1</v>
      </c>
      <c r="B2" s="2" t="s">
        <v>62</v>
      </c>
      <c r="C2" s="30" t="s">
        <v>63</v>
      </c>
      <c r="D2" s="2" t="s">
        <v>114</v>
      </c>
      <c r="E2" s="39" t="s">
        <v>102</v>
      </c>
      <c r="F2" s="44" t="s">
        <v>43</v>
      </c>
      <c r="G2" s="2" t="s">
        <v>44</v>
      </c>
      <c r="H2" s="38" t="s">
        <v>64</v>
      </c>
      <c r="I2" s="2" t="s">
        <v>45</v>
      </c>
      <c r="J2" s="2" t="s">
        <v>46</v>
      </c>
      <c r="K2" s="2" t="s">
        <v>0</v>
      </c>
      <c r="L2" s="2" t="s">
        <v>47</v>
      </c>
      <c r="M2" s="2" t="s">
        <v>48</v>
      </c>
      <c r="N2" s="3" t="s">
        <v>49</v>
      </c>
      <c r="O2" s="2" t="s">
        <v>51</v>
      </c>
      <c r="P2" s="2" t="s">
        <v>50</v>
      </c>
      <c r="Q2" s="11" t="s">
        <v>52</v>
      </c>
      <c r="R2" s="11" t="s">
        <v>53</v>
      </c>
      <c r="S2" s="11" t="s">
        <v>54</v>
      </c>
      <c r="T2" s="11" t="s">
        <v>55</v>
      </c>
      <c r="U2" s="11" t="s">
        <v>56</v>
      </c>
      <c r="V2" s="11" t="s">
        <v>57</v>
      </c>
      <c r="W2" s="11" t="s">
        <v>58</v>
      </c>
      <c r="X2" s="11" t="s">
        <v>59</v>
      </c>
      <c r="Y2" s="11" t="s">
        <v>60</v>
      </c>
      <c r="Z2" s="11" t="s">
        <v>61</v>
      </c>
    </row>
    <row r="3" spans="1:31" ht="51" x14ac:dyDescent="0.25">
      <c r="A3" s="15"/>
      <c r="B3" s="2" t="s">
        <v>4</v>
      </c>
      <c r="C3" s="1" t="s">
        <v>113</v>
      </c>
      <c r="D3" s="1" t="s">
        <v>2</v>
      </c>
      <c r="E3" s="1" t="s">
        <v>2</v>
      </c>
      <c r="F3" s="1" t="s">
        <v>2</v>
      </c>
      <c r="G3" s="1" t="s">
        <v>2</v>
      </c>
      <c r="H3" s="42" t="s">
        <v>106</v>
      </c>
      <c r="I3" s="1" t="s">
        <v>2</v>
      </c>
      <c r="J3" s="41" t="s">
        <v>107</v>
      </c>
      <c r="K3" s="41" t="s">
        <v>107</v>
      </c>
      <c r="L3" s="41" t="s">
        <v>108</v>
      </c>
      <c r="M3" s="41" t="s">
        <v>107</v>
      </c>
      <c r="N3" s="41" t="s">
        <v>107</v>
      </c>
      <c r="O3" s="41" t="s">
        <v>107</v>
      </c>
      <c r="P3" s="41" t="s">
        <v>107</v>
      </c>
      <c r="Q3" s="41" t="s">
        <v>107</v>
      </c>
      <c r="R3" s="41" t="s">
        <v>107</v>
      </c>
      <c r="S3" s="41" t="s">
        <v>107</v>
      </c>
      <c r="T3" s="41" t="s">
        <v>107</v>
      </c>
      <c r="U3" s="2" t="s">
        <v>2</v>
      </c>
      <c r="V3" s="2" t="s">
        <v>116</v>
      </c>
      <c r="W3" s="2" t="s">
        <v>116</v>
      </c>
      <c r="X3" s="2" t="s">
        <v>14</v>
      </c>
      <c r="Y3" s="2" t="s">
        <v>14</v>
      </c>
      <c r="Z3" s="2" t="s">
        <v>14</v>
      </c>
    </row>
    <row r="4" spans="1:31" x14ac:dyDescent="0.25">
      <c r="A4" s="12" t="s">
        <v>15</v>
      </c>
      <c r="B4" s="9">
        <v>43748.4375</v>
      </c>
      <c r="C4" s="10">
        <v>102190</v>
      </c>
      <c r="D4" s="10" t="s">
        <v>16</v>
      </c>
      <c r="E4" s="10" t="s">
        <v>17</v>
      </c>
      <c r="F4" s="10" t="s">
        <v>18</v>
      </c>
      <c r="G4" s="10" t="s">
        <v>19</v>
      </c>
      <c r="H4" s="18"/>
      <c r="I4" s="10"/>
      <c r="J4" s="10"/>
      <c r="K4" s="10" t="s">
        <v>20</v>
      </c>
      <c r="L4" s="10"/>
      <c r="M4" s="10"/>
      <c r="N4" s="10">
        <v>5847</v>
      </c>
      <c r="O4" s="13">
        <v>200100954875</v>
      </c>
      <c r="P4" s="10" t="s">
        <v>21</v>
      </c>
      <c r="Q4" s="13">
        <v>78787878778</v>
      </c>
      <c r="R4" s="10" t="s">
        <v>22</v>
      </c>
      <c r="S4" s="10">
        <v>48965</v>
      </c>
      <c r="T4" s="10" t="s">
        <v>23</v>
      </c>
      <c r="U4" s="10">
        <v>7456455</v>
      </c>
      <c r="V4" s="10" t="s">
        <v>24</v>
      </c>
      <c r="W4" s="10" t="s">
        <v>25</v>
      </c>
      <c r="X4" s="10">
        <v>40000</v>
      </c>
      <c r="Y4" s="10">
        <v>3.5</v>
      </c>
      <c r="Z4" s="10">
        <v>140000</v>
      </c>
    </row>
    <row r="5" spans="1:31" x14ac:dyDescent="0.25">
      <c r="A5" s="12" t="s">
        <v>15</v>
      </c>
      <c r="B5" s="9">
        <v>43749.4375</v>
      </c>
      <c r="C5" s="10">
        <v>102191</v>
      </c>
      <c r="D5" s="10" t="s">
        <v>16</v>
      </c>
      <c r="E5" s="10" t="s">
        <v>17</v>
      </c>
      <c r="F5" s="10" t="s">
        <v>18</v>
      </c>
      <c r="G5" s="10" t="s">
        <v>19</v>
      </c>
      <c r="H5" s="18"/>
      <c r="I5" s="10"/>
      <c r="J5" s="10" t="s">
        <v>26</v>
      </c>
      <c r="K5" s="10" t="s">
        <v>20</v>
      </c>
      <c r="L5" s="10"/>
      <c r="M5" s="10"/>
      <c r="N5" s="10">
        <v>9652001</v>
      </c>
      <c r="O5" s="13">
        <v>3695854</v>
      </c>
      <c r="P5" s="10" t="s">
        <v>27</v>
      </c>
      <c r="Q5" s="13">
        <v>84557848</v>
      </c>
      <c r="R5" s="10" t="s">
        <v>28</v>
      </c>
      <c r="S5" s="10">
        <v>48966</v>
      </c>
      <c r="T5" s="10" t="s">
        <v>29</v>
      </c>
      <c r="U5" s="10">
        <v>7456455</v>
      </c>
      <c r="V5" s="10" t="s">
        <v>24</v>
      </c>
      <c r="W5" s="10" t="s">
        <v>25</v>
      </c>
      <c r="X5" s="10">
        <v>10000</v>
      </c>
      <c r="Y5" s="10">
        <v>4</v>
      </c>
      <c r="Z5" s="10">
        <v>40000</v>
      </c>
    </row>
    <row r="6" spans="1:31" x14ac:dyDescent="0.25">
      <c r="A6" s="12" t="s">
        <v>15</v>
      </c>
      <c r="B6" s="9">
        <v>43750.4375</v>
      </c>
      <c r="C6" s="10">
        <v>102193</v>
      </c>
      <c r="D6" s="10" t="s">
        <v>16</v>
      </c>
      <c r="E6" s="10" t="s">
        <v>17</v>
      </c>
      <c r="F6" s="10" t="s">
        <v>18</v>
      </c>
      <c r="G6" s="10" t="s">
        <v>19</v>
      </c>
      <c r="H6" s="18"/>
      <c r="I6" s="10"/>
      <c r="J6" s="10"/>
      <c r="K6" s="10"/>
      <c r="L6" s="10"/>
      <c r="M6" s="10"/>
      <c r="N6" s="10">
        <v>0</v>
      </c>
      <c r="O6" s="13">
        <v>0</v>
      </c>
      <c r="P6" s="10"/>
      <c r="Q6" s="13">
        <v>0</v>
      </c>
      <c r="R6" s="10"/>
      <c r="S6" s="10">
        <v>48968</v>
      </c>
      <c r="T6" s="10"/>
      <c r="U6" s="10">
        <v>7456455</v>
      </c>
      <c r="V6" s="10" t="s">
        <v>24</v>
      </c>
      <c r="W6" s="10" t="s">
        <v>25</v>
      </c>
      <c r="X6" s="10">
        <v>2000</v>
      </c>
      <c r="Y6" s="10">
        <v>0</v>
      </c>
      <c r="Z6" s="10">
        <v>0</v>
      </c>
    </row>
    <row r="7" spans="1:31" x14ac:dyDescent="0.25">
      <c r="A7" s="12" t="s">
        <v>15</v>
      </c>
      <c r="B7" s="9">
        <v>43751.4375</v>
      </c>
      <c r="C7" s="10">
        <v>102192</v>
      </c>
      <c r="D7" s="10" t="s">
        <v>30</v>
      </c>
      <c r="E7" s="10" t="s">
        <v>17</v>
      </c>
      <c r="F7" s="10" t="s">
        <v>18</v>
      </c>
      <c r="G7" s="10" t="s">
        <v>19</v>
      </c>
      <c r="H7" s="18"/>
      <c r="I7" s="10" t="s">
        <v>31</v>
      </c>
      <c r="J7" s="10"/>
      <c r="K7" s="10"/>
      <c r="L7" s="10" t="s">
        <v>32</v>
      </c>
      <c r="M7" s="10" t="s">
        <v>33</v>
      </c>
      <c r="N7" s="10">
        <v>0</v>
      </c>
      <c r="O7" s="13">
        <v>0</v>
      </c>
      <c r="P7" s="10"/>
      <c r="Q7" s="13">
        <v>0</v>
      </c>
      <c r="R7" s="10"/>
      <c r="S7" s="10">
        <v>48967</v>
      </c>
      <c r="T7" s="10"/>
      <c r="U7" s="10">
        <v>7456455</v>
      </c>
      <c r="V7" s="10" t="s">
        <v>24</v>
      </c>
      <c r="W7" s="10" t="s">
        <v>25</v>
      </c>
      <c r="X7" s="10">
        <v>800</v>
      </c>
      <c r="Y7" s="10">
        <v>0</v>
      </c>
      <c r="Z7" s="10">
        <v>0</v>
      </c>
    </row>
    <row r="8" spans="1:31" x14ac:dyDescent="0.25">
      <c r="A8" s="12" t="s">
        <v>15</v>
      </c>
      <c r="B8" s="9">
        <v>43752.4375</v>
      </c>
      <c r="C8" s="10">
        <v>102194</v>
      </c>
      <c r="D8" s="10" t="s">
        <v>16</v>
      </c>
      <c r="E8" s="10" t="s">
        <v>34</v>
      </c>
      <c r="F8" s="10" t="s">
        <v>18</v>
      </c>
      <c r="G8" s="10" t="s">
        <v>19</v>
      </c>
      <c r="H8" s="18"/>
      <c r="I8" s="10"/>
      <c r="J8" s="10"/>
      <c r="K8" s="10" t="s">
        <v>20</v>
      </c>
      <c r="L8" s="10"/>
      <c r="M8" s="10"/>
      <c r="N8" s="10">
        <v>0</v>
      </c>
      <c r="O8" s="13">
        <v>0</v>
      </c>
      <c r="P8" s="10"/>
      <c r="Q8" s="13">
        <v>0</v>
      </c>
      <c r="R8" s="10"/>
      <c r="S8" s="10">
        <v>48969</v>
      </c>
      <c r="T8" s="10"/>
      <c r="U8" s="10">
        <v>7456455</v>
      </c>
      <c r="V8" s="10" t="s">
        <v>24</v>
      </c>
      <c r="W8" s="10" t="s">
        <v>25</v>
      </c>
      <c r="X8" s="10">
        <v>5000</v>
      </c>
      <c r="Y8" s="10">
        <v>0</v>
      </c>
      <c r="Z8" s="10">
        <v>0</v>
      </c>
    </row>
    <row r="9" spans="1:31" x14ac:dyDescent="0.25">
      <c r="A9" s="12" t="s">
        <v>15</v>
      </c>
      <c r="B9" s="9">
        <v>43753.4375</v>
      </c>
      <c r="C9" s="10">
        <v>102196</v>
      </c>
      <c r="D9" s="10" t="s">
        <v>16</v>
      </c>
      <c r="E9" s="10" t="s">
        <v>17</v>
      </c>
      <c r="F9" s="10" t="s">
        <v>18</v>
      </c>
      <c r="G9" s="10" t="s">
        <v>19</v>
      </c>
      <c r="H9" s="18"/>
      <c r="I9" s="10"/>
      <c r="J9" s="10"/>
      <c r="K9" s="10" t="s">
        <v>20</v>
      </c>
      <c r="L9" s="10"/>
      <c r="M9" s="10"/>
      <c r="N9" s="10">
        <v>0</v>
      </c>
      <c r="O9" s="13">
        <v>0</v>
      </c>
      <c r="P9" s="10"/>
      <c r="Q9" s="13">
        <v>0</v>
      </c>
      <c r="R9" s="10"/>
      <c r="S9" s="10">
        <v>48970</v>
      </c>
      <c r="T9" s="10"/>
      <c r="U9" s="10">
        <v>7456455</v>
      </c>
      <c r="V9" s="10" t="s">
        <v>24</v>
      </c>
      <c r="W9" s="10" t="s">
        <v>25</v>
      </c>
      <c r="X9" s="10">
        <v>8000</v>
      </c>
      <c r="Y9" s="10">
        <v>0</v>
      </c>
      <c r="Z9" s="10">
        <v>0</v>
      </c>
    </row>
    <row r="10" spans="1:31" x14ac:dyDescent="0.25">
      <c r="A10" s="12" t="s">
        <v>15</v>
      </c>
      <c r="B10" s="9">
        <v>43754.4375</v>
      </c>
      <c r="C10" s="10">
        <v>102197</v>
      </c>
      <c r="D10" s="10" t="s">
        <v>35</v>
      </c>
      <c r="E10" s="10" t="s">
        <v>36</v>
      </c>
      <c r="F10" s="10" t="s">
        <v>37</v>
      </c>
      <c r="G10" s="10" t="s">
        <v>38</v>
      </c>
      <c r="H10" s="18"/>
      <c r="I10" s="10" t="s">
        <v>39</v>
      </c>
      <c r="J10" s="10" t="s">
        <v>40</v>
      </c>
      <c r="K10" s="10"/>
      <c r="L10" s="10">
        <v>2323</v>
      </c>
      <c r="M10" s="10" t="s">
        <v>33</v>
      </c>
      <c r="N10" s="10">
        <v>0</v>
      </c>
      <c r="O10" s="13">
        <v>0</v>
      </c>
      <c r="P10" s="10"/>
      <c r="Q10" s="13">
        <v>0</v>
      </c>
      <c r="R10" s="10"/>
      <c r="S10" s="10">
        <v>48971</v>
      </c>
      <c r="T10" s="10" t="s">
        <v>41</v>
      </c>
      <c r="U10" s="10">
        <v>7456455</v>
      </c>
      <c r="V10" s="10" t="s">
        <v>42</v>
      </c>
      <c r="W10" s="10" t="s">
        <v>25</v>
      </c>
      <c r="X10" s="10">
        <v>3000</v>
      </c>
      <c r="Y10" s="10">
        <v>0</v>
      </c>
      <c r="Z10" s="10">
        <v>0</v>
      </c>
    </row>
    <row r="13" spans="1:31" s="37" customFormat="1" ht="150" customHeight="1" x14ac:dyDescent="0.2">
      <c r="B13" s="45" t="s">
        <v>62</v>
      </c>
      <c r="C13" s="45" t="s">
        <v>63</v>
      </c>
      <c r="D13" s="45" t="s">
        <v>101</v>
      </c>
      <c r="E13" s="46" t="s">
        <v>102</v>
      </c>
      <c r="F13" s="36" t="s">
        <v>115</v>
      </c>
      <c r="G13" s="39" t="s">
        <v>104</v>
      </c>
      <c r="H13" s="39"/>
      <c r="I13" s="39" t="s">
        <v>103</v>
      </c>
      <c r="J13" s="45" t="s">
        <v>44</v>
      </c>
      <c r="K13" s="45" t="s">
        <v>64</v>
      </c>
      <c r="L13" s="38" t="s">
        <v>65</v>
      </c>
      <c r="M13" s="47" t="s">
        <v>66</v>
      </c>
      <c r="N13" s="47" t="s">
        <v>67</v>
      </c>
      <c r="O13" s="47" t="s">
        <v>68</v>
      </c>
      <c r="P13" s="48" t="s">
        <v>69</v>
      </c>
      <c r="Q13" s="45" t="s">
        <v>70</v>
      </c>
      <c r="R13" s="47" t="s">
        <v>71</v>
      </c>
      <c r="S13" s="47" t="s">
        <v>72</v>
      </c>
      <c r="T13" s="45" t="s">
        <v>52</v>
      </c>
      <c r="U13" s="45" t="s">
        <v>53</v>
      </c>
      <c r="V13" s="47" t="s">
        <v>73</v>
      </c>
      <c r="W13" s="45" t="s">
        <v>74</v>
      </c>
      <c r="X13" s="38" t="s">
        <v>75</v>
      </c>
      <c r="Y13" s="39" t="s">
        <v>76</v>
      </c>
      <c r="Z13" s="40" t="s">
        <v>77</v>
      </c>
      <c r="AA13" s="38" t="s">
        <v>57</v>
      </c>
      <c r="AB13" s="39" t="s">
        <v>105</v>
      </c>
      <c r="AC13" s="38" t="s">
        <v>59</v>
      </c>
      <c r="AD13" s="38" t="s">
        <v>60</v>
      </c>
      <c r="AE13" s="38" t="s">
        <v>61</v>
      </c>
    </row>
    <row r="14" spans="1:31" s="37" customFormat="1" ht="56.25" x14ac:dyDescent="0.2">
      <c r="B14" s="41" t="s">
        <v>2</v>
      </c>
      <c r="C14" s="42" t="s">
        <v>78</v>
      </c>
      <c r="D14" s="41" t="s">
        <v>2</v>
      </c>
      <c r="E14" s="41" t="s">
        <v>2</v>
      </c>
      <c r="F14" s="41" t="s">
        <v>2</v>
      </c>
      <c r="G14" s="41" t="s">
        <v>2</v>
      </c>
      <c r="H14" s="41"/>
      <c r="I14" s="41" t="s">
        <v>2</v>
      </c>
      <c r="J14" s="41" t="s">
        <v>2</v>
      </c>
      <c r="K14" s="42" t="s">
        <v>106</v>
      </c>
      <c r="L14" s="41" t="s">
        <v>107</v>
      </c>
      <c r="M14" s="41" t="s">
        <v>107</v>
      </c>
      <c r="N14" s="41" t="s">
        <v>107</v>
      </c>
      <c r="O14" s="41" t="s">
        <v>108</v>
      </c>
      <c r="P14" s="41" t="s">
        <v>107</v>
      </c>
      <c r="Q14" s="42" t="s">
        <v>106</v>
      </c>
      <c r="R14" s="42" t="s">
        <v>106</v>
      </c>
      <c r="S14" s="41" t="s">
        <v>107</v>
      </c>
      <c r="T14" s="42" t="s">
        <v>106</v>
      </c>
      <c r="U14" s="41" t="s">
        <v>107</v>
      </c>
      <c r="V14" s="41" t="s">
        <v>2</v>
      </c>
      <c r="W14" s="41" t="s">
        <v>107</v>
      </c>
      <c r="X14" s="42" t="s">
        <v>109</v>
      </c>
      <c r="Y14" s="41" t="s">
        <v>110</v>
      </c>
      <c r="Z14" s="43" t="s">
        <v>2</v>
      </c>
      <c r="AA14" s="41" t="s">
        <v>2</v>
      </c>
      <c r="AB14" s="41" t="s">
        <v>2</v>
      </c>
      <c r="AC14" s="42" t="s">
        <v>111</v>
      </c>
      <c r="AD14" s="42" t="s">
        <v>112</v>
      </c>
      <c r="AE14" s="42" t="s">
        <v>112</v>
      </c>
    </row>
    <row r="15" spans="1:31" ht="45" x14ac:dyDescent="0.25">
      <c r="B15" s="16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34" t="s">
        <v>79</v>
      </c>
      <c r="R15" s="34"/>
      <c r="S15" s="34"/>
      <c r="T15" s="34"/>
      <c r="U15" s="34"/>
      <c r="V15" s="19" t="s">
        <v>80</v>
      </c>
      <c r="W15" s="20" t="s">
        <v>81</v>
      </c>
      <c r="X15" s="21" t="s">
        <v>82</v>
      </c>
      <c r="Y15" s="22" t="s">
        <v>83</v>
      </c>
      <c r="Z15" s="35"/>
      <c r="AA15" s="35"/>
      <c r="AB15" s="35"/>
      <c r="AC15" s="35"/>
      <c r="AD15" s="35"/>
      <c r="AE15" s="35"/>
    </row>
    <row r="16" spans="1:31" x14ac:dyDescent="0.25">
      <c r="B16" s="29">
        <v>42736.438171296293</v>
      </c>
      <c r="C16" s="23">
        <v>102190</v>
      </c>
      <c r="D16" s="23" t="s">
        <v>16</v>
      </c>
      <c r="E16" s="26" t="s">
        <v>84</v>
      </c>
      <c r="F16" s="23" t="s">
        <v>85</v>
      </c>
      <c r="G16" s="23" t="s">
        <v>35</v>
      </c>
      <c r="H16" s="23"/>
      <c r="I16" s="23" t="s">
        <v>86</v>
      </c>
      <c r="J16" s="23" t="s">
        <v>19</v>
      </c>
      <c r="K16" s="23">
        <v>15</v>
      </c>
      <c r="L16" s="23"/>
      <c r="M16" s="23" t="s">
        <v>87</v>
      </c>
      <c r="N16" s="23"/>
      <c r="O16" s="23"/>
      <c r="P16" s="23"/>
      <c r="Q16" s="23">
        <v>5847</v>
      </c>
      <c r="R16" s="27">
        <v>200100954875</v>
      </c>
      <c r="S16" s="27" t="s">
        <v>21</v>
      </c>
      <c r="T16" s="23">
        <v>78787878778</v>
      </c>
      <c r="U16" s="23" t="s">
        <v>22</v>
      </c>
      <c r="V16" s="23">
        <v>48965</v>
      </c>
      <c r="W16" s="23" t="s">
        <v>23</v>
      </c>
      <c r="X16" s="23">
        <v>2500145</v>
      </c>
      <c r="Y16" s="23" t="s">
        <v>88</v>
      </c>
      <c r="Z16" s="31">
        <v>7456455</v>
      </c>
      <c r="AA16" s="23" t="s">
        <v>24</v>
      </c>
      <c r="AB16" s="18" t="s">
        <v>89</v>
      </c>
      <c r="AC16" s="18">
        <v>40000</v>
      </c>
      <c r="AD16" s="18">
        <v>3.5</v>
      </c>
      <c r="AE16" s="18">
        <v>140000</v>
      </c>
    </row>
    <row r="17" spans="2:34" x14ac:dyDescent="0.25">
      <c r="B17" s="29">
        <v>42736.438171296293</v>
      </c>
      <c r="C17" s="23">
        <v>102191</v>
      </c>
      <c r="D17" s="23" t="s">
        <v>16</v>
      </c>
      <c r="E17" s="26" t="s">
        <v>84</v>
      </c>
      <c r="F17" s="23" t="s">
        <v>90</v>
      </c>
      <c r="G17" s="23" t="s">
        <v>91</v>
      </c>
      <c r="H17" s="23"/>
      <c r="I17" s="23" t="s">
        <v>86</v>
      </c>
      <c r="J17" s="23" t="s">
        <v>38</v>
      </c>
      <c r="K17" s="23">
        <v>15</v>
      </c>
      <c r="L17" s="23"/>
      <c r="M17" s="23" t="s">
        <v>92</v>
      </c>
      <c r="N17" s="23" t="s">
        <v>26</v>
      </c>
      <c r="O17" s="23" t="s">
        <v>32</v>
      </c>
      <c r="P17" s="23" t="s">
        <v>33</v>
      </c>
      <c r="Q17" s="23">
        <v>9652001</v>
      </c>
      <c r="R17" s="27">
        <v>3695854</v>
      </c>
      <c r="S17" s="27" t="s">
        <v>27</v>
      </c>
      <c r="T17" s="23">
        <v>84557848</v>
      </c>
      <c r="U17" s="23" t="s">
        <v>28</v>
      </c>
      <c r="V17" s="23">
        <v>48966</v>
      </c>
      <c r="W17" s="23" t="s">
        <v>29</v>
      </c>
      <c r="X17" s="23">
        <v>4849654</v>
      </c>
      <c r="Y17" s="23" t="s">
        <v>93</v>
      </c>
      <c r="Z17" s="31">
        <v>7456455</v>
      </c>
      <c r="AA17" s="23" t="s">
        <v>24</v>
      </c>
      <c r="AB17" s="18" t="s">
        <v>89</v>
      </c>
      <c r="AC17" s="18">
        <v>10000</v>
      </c>
      <c r="AD17" s="18">
        <v>4</v>
      </c>
      <c r="AE17" s="18">
        <v>40000</v>
      </c>
    </row>
    <row r="18" spans="2:34" x14ac:dyDescent="0.25">
      <c r="B18" s="29">
        <v>42736.438171296293</v>
      </c>
      <c r="C18" s="23">
        <v>102193</v>
      </c>
      <c r="D18" s="23" t="s">
        <v>16</v>
      </c>
      <c r="E18" s="26" t="s">
        <v>84</v>
      </c>
      <c r="F18" s="26" t="s">
        <v>18</v>
      </c>
      <c r="G18" s="23" t="s">
        <v>94</v>
      </c>
      <c r="H18" s="23"/>
      <c r="I18" s="26" t="s">
        <v>95</v>
      </c>
      <c r="J18" s="23" t="s">
        <v>19</v>
      </c>
      <c r="K18" s="23">
        <v>0</v>
      </c>
      <c r="L18" s="23"/>
      <c r="M18" s="23"/>
      <c r="N18" s="23"/>
      <c r="O18" s="23"/>
      <c r="P18" s="23"/>
      <c r="Q18" s="23">
        <v>0</v>
      </c>
      <c r="R18" s="27">
        <v>0</v>
      </c>
      <c r="S18" s="27"/>
      <c r="T18" s="23">
        <v>0</v>
      </c>
      <c r="U18" s="23"/>
      <c r="V18" s="23">
        <v>48968</v>
      </c>
      <c r="W18" s="23"/>
      <c r="X18" s="23">
        <v>0</v>
      </c>
      <c r="Y18" s="23"/>
      <c r="Z18" s="31">
        <v>7456455</v>
      </c>
      <c r="AA18" s="23" t="s">
        <v>24</v>
      </c>
      <c r="AB18" s="18" t="s">
        <v>96</v>
      </c>
      <c r="AC18" s="18">
        <v>2000</v>
      </c>
      <c r="AD18" s="18">
        <v>0</v>
      </c>
      <c r="AE18" s="18">
        <v>0</v>
      </c>
    </row>
    <row r="19" spans="2:34" x14ac:dyDescent="0.25">
      <c r="B19" s="29">
        <v>42736.438171296293</v>
      </c>
      <c r="C19" s="23">
        <v>102192</v>
      </c>
      <c r="D19" s="23" t="s">
        <v>94</v>
      </c>
      <c r="E19" s="26" t="s">
        <v>95</v>
      </c>
      <c r="F19" s="26" t="s">
        <v>18</v>
      </c>
      <c r="G19" s="23" t="s">
        <v>16</v>
      </c>
      <c r="H19" s="23"/>
      <c r="I19" s="26" t="s">
        <v>84</v>
      </c>
      <c r="J19" s="23" t="s">
        <v>19</v>
      </c>
      <c r="K19" s="23">
        <v>0</v>
      </c>
      <c r="L19" s="23"/>
      <c r="M19" s="23"/>
      <c r="N19" s="23"/>
      <c r="O19" s="23"/>
      <c r="P19" s="23"/>
      <c r="Q19" s="23">
        <v>0</v>
      </c>
      <c r="R19" s="27">
        <v>0</v>
      </c>
      <c r="S19" s="27"/>
      <c r="T19" s="23">
        <v>0</v>
      </c>
      <c r="U19" s="23"/>
      <c r="V19" s="23">
        <v>48967</v>
      </c>
      <c r="W19" s="23"/>
      <c r="X19" s="23">
        <v>0</v>
      </c>
      <c r="Y19" s="23"/>
      <c r="Z19" s="31">
        <v>7456455</v>
      </c>
      <c r="AA19" s="23" t="s">
        <v>24</v>
      </c>
      <c r="AB19" s="18" t="s">
        <v>89</v>
      </c>
      <c r="AC19" s="18">
        <v>800</v>
      </c>
      <c r="AD19" s="18">
        <v>0</v>
      </c>
      <c r="AE19" s="18">
        <v>0</v>
      </c>
    </row>
    <row r="20" spans="2:34" x14ac:dyDescent="0.25">
      <c r="B20" s="29">
        <v>42736.438171296293</v>
      </c>
      <c r="C20" s="23">
        <v>102194</v>
      </c>
      <c r="D20" s="23" t="s">
        <v>16</v>
      </c>
      <c r="E20" s="26" t="s">
        <v>97</v>
      </c>
      <c r="F20" s="26" t="s">
        <v>18</v>
      </c>
      <c r="G20" s="23" t="s">
        <v>16</v>
      </c>
      <c r="H20" s="23"/>
      <c r="I20" s="26" t="s">
        <v>98</v>
      </c>
      <c r="J20" s="23" t="s">
        <v>19</v>
      </c>
      <c r="K20" s="23">
        <v>0</v>
      </c>
      <c r="L20" s="23"/>
      <c r="M20" s="23"/>
      <c r="N20" s="23"/>
      <c r="O20" s="23"/>
      <c r="P20" s="23"/>
      <c r="Q20" s="23">
        <v>0</v>
      </c>
      <c r="R20" s="27">
        <v>0</v>
      </c>
      <c r="S20" s="27"/>
      <c r="T20" s="23">
        <v>0</v>
      </c>
      <c r="U20" s="23"/>
      <c r="V20" s="23">
        <v>48969</v>
      </c>
      <c r="W20" s="23"/>
      <c r="X20" s="23">
        <v>0</v>
      </c>
      <c r="Y20" s="23"/>
      <c r="Z20" s="31">
        <v>7456455</v>
      </c>
      <c r="AA20" s="23" t="s">
        <v>24</v>
      </c>
      <c r="AB20" s="18" t="s">
        <v>89</v>
      </c>
      <c r="AC20" s="18">
        <v>5000</v>
      </c>
      <c r="AD20" s="18">
        <v>0</v>
      </c>
      <c r="AE20" s="18">
        <v>0</v>
      </c>
    </row>
    <row r="21" spans="2:34" x14ac:dyDescent="0.25">
      <c r="B21" s="29">
        <v>42739.460706018515</v>
      </c>
      <c r="C21" s="23">
        <v>102196</v>
      </c>
      <c r="D21" s="23" t="s">
        <v>16</v>
      </c>
      <c r="E21" s="26" t="s">
        <v>84</v>
      </c>
      <c r="F21" s="26" t="s">
        <v>18</v>
      </c>
      <c r="G21" s="23" t="s">
        <v>86</v>
      </c>
      <c r="H21" s="23"/>
      <c r="I21" s="23" t="s">
        <v>86</v>
      </c>
      <c r="J21" s="23" t="s">
        <v>19</v>
      </c>
      <c r="K21" s="23">
        <v>15</v>
      </c>
      <c r="L21" s="23"/>
      <c r="M21" s="23"/>
      <c r="N21" s="23"/>
      <c r="O21" s="23"/>
      <c r="P21" s="23"/>
      <c r="Q21" s="23">
        <v>0</v>
      </c>
      <c r="R21" s="27">
        <v>0</v>
      </c>
      <c r="S21" s="27"/>
      <c r="T21" s="23">
        <v>0</v>
      </c>
      <c r="U21" s="23"/>
      <c r="V21" s="23">
        <v>48970</v>
      </c>
      <c r="W21" s="23"/>
      <c r="X21" s="23">
        <v>0</v>
      </c>
      <c r="Y21" s="23"/>
      <c r="Z21" s="31">
        <v>7456455</v>
      </c>
      <c r="AA21" s="23" t="s">
        <v>24</v>
      </c>
      <c r="AB21" s="18" t="s">
        <v>89</v>
      </c>
      <c r="AC21" s="18">
        <v>8000</v>
      </c>
      <c r="AD21" s="18">
        <v>0</v>
      </c>
      <c r="AE21" s="18">
        <v>0</v>
      </c>
    </row>
    <row r="22" spans="2:34" x14ac:dyDescent="0.25">
      <c r="B22" s="29">
        <v>42739.460706018515</v>
      </c>
      <c r="C22" s="23">
        <v>102197</v>
      </c>
      <c r="D22" s="23" t="s">
        <v>16</v>
      </c>
      <c r="E22" s="26" t="s">
        <v>97</v>
      </c>
      <c r="F22" s="23" t="s">
        <v>99</v>
      </c>
      <c r="G22" s="23" t="s">
        <v>91</v>
      </c>
      <c r="H22" s="23"/>
      <c r="I22" s="23" t="s">
        <v>86</v>
      </c>
      <c r="J22" s="23" t="s">
        <v>19</v>
      </c>
      <c r="K22" s="23">
        <v>15</v>
      </c>
      <c r="L22" s="23"/>
      <c r="M22" s="23" t="s">
        <v>39</v>
      </c>
      <c r="N22" s="23" t="s">
        <v>40</v>
      </c>
      <c r="O22" s="23">
        <v>2323</v>
      </c>
      <c r="P22" s="23" t="s">
        <v>33</v>
      </c>
      <c r="Q22" s="23">
        <v>0</v>
      </c>
      <c r="R22" s="27">
        <v>0</v>
      </c>
      <c r="S22" s="27"/>
      <c r="T22" s="23">
        <v>0</v>
      </c>
      <c r="U22" s="23"/>
      <c r="V22" s="23">
        <v>48971</v>
      </c>
      <c r="W22" s="23" t="s">
        <v>41</v>
      </c>
      <c r="X22" s="23">
        <v>4589674</v>
      </c>
      <c r="Y22" s="23" t="s">
        <v>100</v>
      </c>
      <c r="Z22" s="31">
        <v>7456455</v>
      </c>
      <c r="AA22" s="23" t="s">
        <v>42</v>
      </c>
      <c r="AB22" s="18" t="s">
        <v>96</v>
      </c>
      <c r="AC22" s="18">
        <v>3000</v>
      </c>
      <c r="AD22" s="18">
        <v>0</v>
      </c>
      <c r="AE22" s="18">
        <v>0</v>
      </c>
    </row>
    <row r="24" spans="2:34" ht="240" x14ac:dyDescent="0.25">
      <c r="B24" s="49" t="s">
        <v>62</v>
      </c>
      <c r="C24" s="24" t="s">
        <v>117</v>
      </c>
      <c r="D24" s="24" t="s">
        <v>118</v>
      </c>
      <c r="E24" s="25" t="s">
        <v>119</v>
      </c>
      <c r="F24" s="25" t="s">
        <v>120</v>
      </c>
      <c r="G24" s="25" t="s">
        <v>121</v>
      </c>
      <c r="H24" s="25"/>
      <c r="I24" s="25" t="s">
        <v>122</v>
      </c>
      <c r="J24" s="25" t="s">
        <v>44</v>
      </c>
      <c r="K24" s="25" t="s">
        <v>64</v>
      </c>
      <c r="L24" s="25" t="s">
        <v>123</v>
      </c>
      <c r="M24" s="50" t="s">
        <v>124</v>
      </c>
      <c r="N24" s="51" t="s">
        <v>125</v>
      </c>
      <c r="O24" s="28" t="s">
        <v>126</v>
      </c>
      <c r="P24" s="52" t="s">
        <v>127</v>
      </c>
      <c r="Q24" s="25" t="s">
        <v>70</v>
      </c>
      <c r="R24" s="50" t="s">
        <v>71</v>
      </c>
      <c r="S24" s="50" t="s">
        <v>72</v>
      </c>
      <c r="T24" s="25" t="s">
        <v>52</v>
      </c>
      <c r="U24" s="25" t="s">
        <v>53</v>
      </c>
      <c r="V24" s="51" t="s">
        <v>128</v>
      </c>
      <c r="W24" s="53" t="s">
        <v>129</v>
      </c>
      <c r="X24" s="54" t="s">
        <v>130</v>
      </c>
      <c r="Y24" s="54" t="s">
        <v>131</v>
      </c>
      <c r="Z24" s="28" t="s">
        <v>132</v>
      </c>
      <c r="AA24" s="55" t="s">
        <v>133</v>
      </c>
      <c r="AB24" s="25" t="s">
        <v>134</v>
      </c>
      <c r="AC24" s="25" t="s">
        <v>135</v>
      </c>
      <c r="AD24" s="25" t="s">
        <v>136</v>
      </c>
      <c r="AE24" s="25" t="s">
        <v>137</v>
      </c>
      <c r="AF24" s="25" t="s">
        <v>59</v>
      </c>
      <c r="AG24" s="25" t="s">
        <v>60</v>
      </c>
      <c r="AH24" s="25" t="s">
        <v>61</v>
      </c>
    </row>
    <row r="25" spans="2:34" x14ac:dyDescent="0.25">
      <c r="B25" s="56">
        <v>42736.385925925926</v>
      </c>
      <c r="C25" s="26">
        <v>5334</v>
      </c>
      <c r="D25" s="26" t="s">
        <v>94</v>
      </c>
      <c r="E25" s="26" t="s">
        <v>138</v>
      </c>
      <c r="F25" s="26" t="s">
        <v>86</v>
      </c>
      <c r="G25" s="26" t="s">
        <v>86</v>
      </c>
      <c r="H25" s="26"/>
      <c r="I25" s="26" t="s">
        <v>86</v>
      </c>
      <c r="J25" s="26" t="s">
        <v>19</v>
      </c>
      <c r="K25" s="26">
        <v>0</v>
      </c>
      <c r="L25" s="26">
        <v>0</v>
      </c>
      <c r="M25" s="57" t="s">
        <v>139</v>
      </c>
      <c r="N25" s="57"/>
      <c r="O25" s="58"/>
      <c r="P25" s="59" t="s">
        <v>86</v>
      </c>
      <c r="Q25" s="26">
        <v>9584</v>
      </c>
      <c r="R25" s="57">
        <v>2001009566474</v>
      </c>
      <c r="S25" s="57" t="s">
        <v>140</v>
      </c>
      <c r="T25" s="26">
        <v>845967845</v>
      </c>
      <c r="U25" s="26" t="s">
        <v>141</v>
      </c>
      <c r="V25" s="57" t="s">
        <v>142</v>
      </c>
      <c r="W25" s="60">
        <v>2584798</v>
      </c>
      <c r="X25" s="57" t="s">
        <v>143</v>
      </c>
      <c r="Y25" s="57">
        <v>6958474</v>
      </c>
      <c r="Z25" s="58">
        <v>0</v>
      </c>
      <c r="AA25" s="58"/>
      <c r="AB25" s="26"/>
      <c r="AC25" s="23">
        <v>4598231</v>
      </c>
      <c r="AD25" s="26" t="s">
        <v>24</v>
      </c>
      <c r="AE25" s="23" t="s">
        <v>89</v>
      </c>
      <c r="AF25" s="26">
        <v>2000</v>
      </c>
      <c r="AG25" s="26">
        <v>6.14</v>
      </c>
      <c r="AH25" s="26">
        <f>AF25*AG25</f>
        <v>12280</v>
      </c>
    </row>
    <row r="26" spans="2:34" x14ac:dyDescent="0.25">
      <c r="B26" s="56">
        <v>42737.385925925926</v>
      </c>
      <c r="C26" s="26">
        <v>5335</v>
      </c>
      <c r="D26" s="26" t="s">
        <v>94</v>
      </c>
      <c r="E26" s="26" t="s">
        <v>138</v>
      </c>
      <c r="F26" s="26" t="s">
        <v>86</v>
      </c>
      <c r="G26" s="26" t="s">
        <v>86</v>
      </c>
      <c r="H26" s="26"/>
      <c r="I26" s="26" t="s">
        <v>86</v>
      </c>
      <c r="J26" s="26" t="s">
        <v>19</v>
      </c>
      <c r="K26" s="26">
        <v>0</v>
      </c>
      <c r="L26" s="26">
        <v>0</v>
      </c>
      <c r="M26" s="57" t="s">
        <v>144</v>
      </c>
      <c r="N26" s="57"/>
      <c r="O26" s="58"/>
      <c r="P26" s="59" t="s">
        <v>86</v>
      </c>
      <c r="Q26" s="26">
        <v>9585</v>
      </c>
      <c r="R26" s="57">
        <v>2001009566474</v>
      </c>
      <c r="S26" s="57" t="s">
        <v>140</v>
      </c>
      <c r="T26" s="26">
        <v>845967845</v>
      </c>
      <c r="U26" s="26" t="s">
        <v>145</v>
      </c>
      <c r="V26" s="57" t="s">
        <v>146</v>
      </c>
      <c r="W26" s="60">
        <v>2584798</v>
      </c>
      <c r="X26" s="57" t="s">
        <v>143</v>
      </c>
      <c r="Y26" s="57">
        <v>5645</v>
      </c>
      <c r="Z26" s="58">
        <v>0</v>
      </c>
      <c r="AA26" s="58"/>
      <c r="AB26" s="26"/>
      <c r="AC26" s="23">
        <v>4598231</v>
      </c>
      <c r="AD26" s="26" t="s">
        <v>24</v>
      </c>
      <c r="AE26" s="23" t="s">
        <v>89</v>
      </c>
      <c r="AF26" s="26">
        <v>3000</v>
      </c>
      <c r="AG26" s="26">
        <v>6.14</v>
      </c>
      <c r="AH26" s="26">
        <f t="shared" ref="AH26:AH46" si="0">AF26*AG26</f>
        <v>18420</v>
      </c>
    </row>
    <row r="27" spans="2:34" x14ac:dyDescent="0.25">
      <c r="B27" s="56">
        <v>42738.385925925926</v>
      </c>
      <c r="C27" s="26">
        <v>5336</v>
      </c>
      <c r="D27" s="26" t="s">
        <v>94</v>
      </c>
      <c r="E27" s="26" t="s">
        <v>138</v>
      </c>
      <c r="F27" s="26" t="s">
        <v>86</v>
      </c>
      <c r="G27" s="26" t="s">
        <v>86</v>
      </c>
      <c r="H27" s="26"/>
      <c r="I27" s="26" t="s">
        <v>86</v>
      </c>
      <c r="J27" s="26" t="s">
        <v>19</v>
      </c>
      <c r="K27" s="26">
        <v>0</v>
      </c>
      <c r="L27" s="26">
        <v>0</v>
      </c>
      <c r="M27" s="57" t="s">
        <v>147</v>
      </c>
      <c r="N27" s="57"/>
      <c r="O27" s="58"/>
      <c r="P27" s="59" t="s">
        <v>86</v>
      </c>
      <c r="Q27" s="26">
        <v>9586</v>
      </c>
      <c r="R27" s="57">
        <v>2001009566474</v>
      </c>
      <c r="S27" s="57" t="s">
        <v>140</v>
      </c>
      <c r="T27" s="26">
        <v>845967845</v>
      </c>
      <c r="U27" s="26" t="s">
        <v>148</v>
      </c>
      <c r="V27" s="57" t="s">
        <v>149</v>
      </c>
      <c r="W27" s="60">
        <v>2584798</v>
      </c>
      <c r="X27" s="57" t="s">
        <v>143</v>
      </c>
      <c r="Y27" s="57">
        <v>343</v>
      </c>
      <c r="Z27" s="58">
        <v>0</v>
      </c>
      <c r="AA27" s="58"/>
      <c r="AB27" s="26"/>
      <c r="AC27" s="23">
        <v>4598231</v>
      </c>
      <c r="AD27" s="26" t="s">
        <v>24</v>
      </c>
      <c r="AE27" s="23" t="s">
        <v>89</v>
      </c>
      <c r="AF27" s="26">
        <v>2000</v>
      </c>
      <c r="AG27" s="26">
        <v>6.14</v>
      </c>
      <c r="AH27" s="26">
        <f t="shared" si="0"/>
        <v>12280</v>
      </c>
    </row>
    <row r="28" spans="2:34" x14ac:dyDescent="0.25">
      <c r="B28" s="56">
        <v>42740.385925925926</v>
      </c>
      <c r="C28" s="26">
        <v>5337</v>
      </c>
      <c r="D28" s="26" t="s">
        <v>94</v>
      </c>
      <c r="E28" s="26" t="s">
        <v>138</v>
      </c>
      <c r="F28" s="26" t="s">
        <v>86</v>
      </c>
      <c r="G28" s="26" t="s">
        <v>86</v>
      </c>
      <c r="H28" s="26"/>
      <c r="I28" s="26" t="s">
        <v>86</v>
      </c>
      <c r="J28" s="26" t="s">
        <v>19</v>
      </c>
      <c r="K28" s="26">
        <v>0</v>
      </c>
      <c r="L28" s="26">
        <v>0</v>
      </c>
      <c r="M28" s="57" t="s">
        <v>150</v>
      </c>
      <c r="N28" s="57"/>
      <c r="O28" s="58"/>
      <c r="P28" s="59" t="s">
        <v>86</v>
      </c>
      <c r="Q28" s="26">
        <v>9587</v>
      </c>
      <c r="R28" s="57">
        <v>2001009566474</v>
      </c>
      <c r="S28" s="57" t="s">
        <v>140</v>
      </c>
      <c r="T28" s="26">
        <v>845967845</v>
      </c>
      <c r="U28" s="26" t="s">
        <v>151</v>
      </c>
      <c r="V28" s="57" t="s">
        <v>152</v>
      </c>
      <c r="W28" s="60">
        <v>2584798</v>
      </c>
      <c r="X28" s="57" t="s">
        <v>143</v>
      </c>
      <c r="Y28" s="57">
        <v>354564</v>
      </c>
      <c r="Z28" s="58">
        <v>0</v>
      </c>
      <c r="AA28" s="58"/>
      <c r="AB28" s="26"/>
      <c r="AC28" s="23">
        <v>4598231</v>
      </c>
      <c r="AD28" s="26" t="s">
        <v>24</v>
      </c>
      <c r="AE28" s="23" t="s">
        <v>89</v>
      </c>
      <c r="AF28" s="26">
        <v>8000</v>
      </c>
      <c r="AG28" s="26">
        <v>6.14</v>
      </c>
      <c r="AH28" s="26">
        <f t="shared" si="0"/>
        <v>49120</v>
      </c>
    </row>
    <row r="29" spans="2:34" x14ac:dyDescent="0.25">
      <c r="B29" s="56">
        <v>42742.385925925926</v>
      </c>
      <c r="C29" s="26">
        <v>5338</v>
      </c>
      <c r="D29" s="26" t="s">
        <v>94</v>
      </c>
      <c r="E29" s="26" t="s">
        <v>138</v>
      </c>
      <c r="F29" s="26" t="s">
        <v>86</v>
      </c>
      <c r="G29" s="26" t="s">
        <v>86</v>
      </c>
      <c r="H29" s="26"/>
      <c r="I29" s="26" t="s">
        <v>86</v>
      </c>
      <c r="J29" s="26" t="s">
        <v>19</v>
      </c>
      <c r="K29" s="26">
        <v>0</v>
      </c>
      <c r="L29" s="26">
        <v>0</v>
      </c>
      <c r="M29" s="57" t="s">
        <v>153</v>
      </c>
      <c r="N29" s="57"/>
      <c r="O29" s="58"/>
      <c r="P29" s="59" t="s">
        <v>86</v>
      </c>
      <c r="Q29" s="26">
        <v>9588</v>
      </c>
      <c r="R29" s="57">
        <v>2001009566474</v>
      </c>
      <c r="S29" s="57" t="s">
        <v>140</v>
      </c>
      <c r="T29" s="26">
        <v>845967845</v>
      </c>
      <c r="U29" s="26" t="s">
        <v>154</v>
      </c>
      <c r="V29" s="57" t="s">
        <v>155</v>
      </c>
      <c r="W29" s="60">
        <v>2584798</v>
      </c>
      <c r="X29" s="57" t="s">
        <v>143</v>
      </c>
      <c r="Y29" s="57">
        <v>46</v>
      </c>
      <c r="Z29" s="58">
        <v>0</v>
      </c>
      <c r="AA29" s="58"/>
      <c r="AB29" s="26"/>
      <c r="AC29" s="23">
        <v>4598231</v>
      </c>
      <c r="AD29" s="26" t="s">
        <v>24</v>
      </c>
      <c r="AE29" s="23" t="s">
        <v>89</v>
      </c>
      <c r="AF29" s="26">
        <v>1000</v>
      </c>
      <c r="AG29" s="26">
        <v>6.14</v>
      </c>
      <c r="AH29" s="26">
        <f t="shared" si="0"/>
        <v>6140</v>
      </c>
    </row>
    <row r="30" spans="2:34" x14ac:dyDescent="0.25">
      <c r="B30" s="56">
        <v>42744.385925925926</v>
      </c>
      <c r="C30" s="26">
        <v>5339</v>
      </c>
      <c r="D30" s="26" t="s">
        <v>94</v>
      </c>
      <c r="E30" s="26" t="s">
        <v>138</v>
      </c>
      <c r="F30" s="26" t="s">
        <v>86</v>
      </c>
      <c r="G30" s="26" t="s">
        <v>86</v>
      </c>
      <c r="H30" s="26"/>
      <c r="I30" s="26" t="s">
        <v>86</v>
      </c>
      <c r="J30" s="26" t="s">
        <v>19</v>
      </c>
      <c r="K30" s="26">
        <v>0</v>
      </c>
      <c r="L30" s="26">
        <v>0</v>
      </c>
      <c r="M30" s="57" t="s">
        <v>156</v>
      </c>
      <c r="N30" s="57"/>
      <c r="O30" s="58"/>
      <c r="P30" s="59" t="s">
        <v>86</v>
      </c>
      <c r="Q30" s="26">
        <v>9589</v>
      </c>
      <c r="R30" s="57">
        <v>2001009566474</v>
      </c>
      <c r="S30" s="57" t="s">
        <v>140</v>
      </c>
      <c r="T30" s="26">
        <v>845967845</v>
      </c>
      <c r="U30" s="26" t="s">
        <v>157</v>
      </c>
      <c r="V30" s="57" t="s">
        <v>158</v>
      </c>
      <c r="W30" s="60">
        <v>2584798</v>
      </c>
      <c r="X30" s="57" t="s">
        <v>143</v>
      </c>
      <c r="Y30" s="57">
        <v>53434</v>
      </c>
      <c r="Z30" s="58">
        <v>0</v>
      </c>
      <c r="AA30" s="58"/>
      <c r="AB30" s="26"/>
      <c r="AC30" s="23">
        <v>4598231</v>
      </c>
      <c r="AD30" s="26" t="s">
        <v>24</v>
      </c>
      <c r="AE30" s="23" t="s">
        <v>89</v>
      </c>
      <c r="AF30" s="26">
        <v>1000</v>
      </c>
      <c r="AG30" s="26">
        <v>6.14</v>
      </c>
      <c r="AH30" s="26">
        <f t="shared" si="0"/>
        <v>6140</v>
      </c>
    </row>
    <row r="31" spans="2:34" x14ac:dyDescent="0.25">
      <c r="B31" s="56">
        <v>42745.385925925926</v>
      </c>
      <c r="C31" s="26">
        <v>5340</v>
      </c>
      <c r="D31" s="26" t="s">
        <v>94</v>
      </c>
      <c r="E31" s="26" t="s">
        <v>138</v>
      </c>
      <c r="F31" s="26" t="s">
        <v>86</v>
      </c>
      <c r="G31" s="26" t="s">
        <v>86</v>
      </c>
      <c r="H31" s="26"/>
      <c r="I31" s="26" t="s">
        <v>86</v>
      </c>
      <c r="J31" s="26" t="s">
        <v>19</v>
      </c>
      <c r="K31" s="26">
        <v>0</v>
      </c>
      <c r="L31" s="26">
        <v>0</v>
      </c>
      <c r="M31" s="57" t="s">
        <v>159</v>
      </c>
      <c r="N31" s="57"/>
      <c r="O31" s="58"/>
      <c r="P31" s="59" t="s">
        <v>86</v>
      </c>
      <c r="Q31" s="26">
        <v>9590</v>
      </c>
      <c r="R31" s="57">
        <v>2001009566474</v>
      </c>
      <c r="S31" s="57" t="s">
        <v>140</v>
      </c>
      <c r="T31" s="26">
        <v>845967845</v>
      </c>
      <c r="U31" s="26" t="s">
        <v>160</v>
      </c>
      <c r="V31" s="57" t="s">
        <v>161</v>
      </c>
      <c r="W31" s="60">
        <v>2584798</v>
      </c>
      <c r="X31" s="57" t="s">
        <v>143</v>
      </c>
      <c r="Y31" s="57">
        <v>457</v>
      </c>
      <c r="Z31" s="58">
        <v>0</v>
      </c>
      <c r="AA31" s="58"/>
      <c r="AB31" s="26"/>
      <c r="AC31" s="23">
        <v>4598231</v>
      </c>
      <c r="AD31" s="26" t="s">
        <v>24</v>
      </c>
      <c r="AE31" s="23" t="s">
        <v>89</v>
      </c>
      <c r="AF31" s="26">
        <v>3000</v>
      </c>
      <c r="AG31" s="26">
        <v>6.14</v>
      </c>
      <c r="AH31" s="26">
        <f t="shared" si="0"/>
        <v>18420</v>
      </c>
    </row>
    <row r="32" spans="2:34" x14ac:dyDescent="0.25">
      <c r="B32" s="56">
        <v>42747.385925925926</v>
      </c>
      <c r="C32" s="26">
        <v>5341</v>
      </c>
      <c r="D32" s="26" t="s">
        <v>94</v>
      </c>
      <c r="E32" s="26" t="s">
        <v>138</v>
      </c>
      <c r="F32" s="26" t="s">
        <v>86</v>
      </c>
      <c r="G32" s="26" t="s">
        <v>86</v>
      </c>
      <c r="H32" s="26"/>
      <c r="I32" s="26" t="s">
        <v>86</v>
      </c>
      <c r="J32" s="26" t="s">
        <v>19</v>
      </c>
      <c r="K32" s="26">
        <v>0</v>
      </c>
      <c r="L32" s="26">
        <v>0</v>
      </c>
      <c r="M32" s="57" t="s">
        <v>162</v>
      </c>
      <c r="N32" s="57"/>
      <c r="O32" s="58"/>
      <c r="P32" s="59" t="s">
        <v>86</v>
      </c>
      <c r="Q32" s="26">
        <v>9591</v>
      </c>
      <c r="R32" s="57">
        <v>2001009566474</v>
      </c>
      <c r="S32" s="57" t="s">
        <v>140</v>
      </c>
      <c r="T32" s="26">
        <v>845967845</v>
      </c>
      <c r="U32" s="26" t="s">
        <v>163</v>
      </c>
      <c r="V32" s="57" t="s">
        <v>164</v>
      </c>
      <c r="W32" s="60">
        <v>2584798</v>
      </c>
      <c r="X32" s="57" t="s">
        <v>143</v>
      </c>
      <c r="Y32" s="57">
        <v>576</v>
      </c>
      <c r="Z32" s="58">
        <v>0</v>
      </c>
      <c r="AA32" s="58"/>
      <c r="AB32" s="26"/>
      <c r="AC32" s="23">
        <v>4598231</v>
      </c>
      <c r="AD32" s="26" t="s">
        <v>24</v>
      </c>
      <c r="AE32" s="23" t="s">
        <v>89</v>
      </c>
      <c r="AF32" s="26">
        <v>1000</v>
      </c>
      <c r="AG32" s="26">
        <v>6.14</v>
      </c>
      <c r="AH32" s="26">
        <f t="shared" si="0"/>
        <v>6140</v>
      </c>
    </row>
    <row r="33" spans="2:34" x14ac:dyDescent="0.25">
      <c r="B33" s="56">
        <v>42749.385925925926</v>
      </c>
      <c r="C33" s="26">
        <v>5342</v>
      </c>
      <c r="D33" s="26" t="s">
        <v>94</v>
      </c>
      <c r="E33" s="26" t="s">
        <v>138</v>
      </c>
      <c r="F33" s="26" t="s">
        <v>86</v>
      </c>
      <c r="G33" s="26" t="s">
        <v>86</v>
      </c>
      <c r="H33" s="26"/>
      <c r="I33" s="26" t="s">
        <v>86</v>
      </c>
      <c r="J33" s="26" t="s">
        <v>19</v>
      </c>
      <c r="K33" s="26">
        <v>0</v>
      </c>
      <c r="L33" s="26">
        <v>0</v>
      </c>
      <c r="M33" s="57" t="s">
        <v>165</v>
      </c>
      <c r="N33" s="57"/>
      <c r="O33" s="58"/>
      <c r="P33" s="59" t="s">
        <v>86</v>
      </c>
      <c r="Q33" s="26">
        <v>9592</v>
      </c>
      <c r="R33" s="57">
        <v>2001009566474</v>
      </c>
      <c r="S33" s="57" t="s">
        <v>140</v>
      </c>
      <c r="T33" s="26">
        <v>845967845</v>
      </c>
      <c r="U33" s="26" t="s">
        <v>166</v>
      </c>
      <c r="V33" s="57" t="s">
        <v>167</v>
      </c>
      <c r="W33" s="60">
        <v>2584798</v>
      </c>
      <c r="X33" s="57" t="s">
        <v>143</v>
      </c>
      <c r="Y33" s="57">
        <v>76</v>
      </c>
      <c r="Z33" s="58">
        <v>0</v>
      </c>
      <c r="AA33" s="58"/>
      <c r="AB33" s="26"/>
      <c r="AC33" s="23">
        <v>4598231</v>
      </c>
      <c r="AD33" s="26" t="s">
        <v>24</v>
      </c>
      <c r="AE33" s="23" t="s">
        <v>89</v>
      </c>
      <c r="AF33" s="26">
        <v>8000</v>
      </c>
      <c r="AG33" s="26">
        <v>6.14</v>
      </c>
      <c r="AH33" s="26">
        <f t="shared" si="0"/>
        <v>49120</v>
      </c>
    </row>
    <row r="34" spans="2:34" x14ac:dyDescent="0.25">
      <c r="B34" s="56">
        <v>42751.385925925926</v>
      </c>
      <c r="C34" s="26">
        <v>5343</v>
      </c>
      <c r="D34" s="26" t="s">
        <v>94</v>
      </c>
      <c r="E34" s="26" t="s">
        <v>138</v>
      </c>
      <c r="F34" s="26" t="s">
        <v>86</v>
      </c>
      <c r="G34" s="26" t="s">
        <v>91</v>
      </c>
      <c r="H34" s="26"/>
      <c r="I34" s="26" t="s">
        <v>86</v>
      </c>
      <c r="J34" s="26" t="s">
        <v>19</v>
      </c>
      <c r="K34" s="26">
        <v>0</v>
      </c>
      <c r="L34" s="26">
        <v>0</v>
      </c>
      <c r="M34" s="57" t="s">
        <v>168</v>
      </c>
      <c r="N34" s="57"/>
      <c r="O34" s="58" t="s">
        <v>169</v>
      </c>
      <c r="P34" s="59" t="s">
        <v>86</v>
      </c>
      <c r="Q34" s="26">
        <v>9593</v>
      </c>
      <c r="R34" s="57">
        <v>2001009566474</v>
      </c>
      <c r="S34" s="57" t="s">
        <v>170</v>
      </c>
      <c r="T34" s="26">
        <v>36521844</v>
      </c>
      <c r="U34" s="26" t="s">
        <v>171</v>
      </c>
      <c r="V34" s="57" t="s">
        <v>172</v>
      </c>
      <c r="W34" s="60">
        <v>0</v>
      </c>
      <c r="X34" s="57"/>
      <c r="Y34" s="57">
        <v>0</v>
      </c>
      <c r="Z34" s="58">
        <v>8549658</v>
      </c>
      <c r="AA34" s="58">
        <v>9658</v>
      </c>
      <c r="AB34" s="26"/>
      <c r="AC34" s="23">
        <v>4598231</v>
      </c>
      <c r="AD34" s="26" t="s">
        <v>24</v>
      </c>
      <c r="AE34" s="23" t="s">
        <v>89</v>
      </c>
      <c r="AF34" s="26">
        <v>1000</v>
      </c>
      <c r="AG34" s="26">
        <v>6.14</v>
      </c>
      <c r="AH34" s="26">
        <f t="shared" si="0"/>
        <v>6140</v>
      </c>
    </row>
    <row r="35" spans="2:34" x14ac:dyDescent="0.25">
      <c r="B35" s="56">
        <v>42753.385925925926</v>
      </c>
      <c r="C35" s="26">
        <v>5344</v>
      </c>
      <c r="D35" s="26" t="s">
        <v>94</v>
      </c>
      <c r="E35" s="26" t="s">
        <v>138</v>
      </c>
      <c r="F35" s="26" t="s">
        <v>86</v>
      </c>
      <c r="G35" s="26" t="s">
        <v>91</v>
      </c>
      <c r="H35" s="26"/>
      <c r="I35" s="26" t="s">
        <v>86</v>
      </c>
      <c r="J35" s="26" t="s">
        <v>19</v>
      </c>
      <c r="K35" s="26">
        <v>0</v>
      </c>
      <c r="L35" s="26">
        <v>0</v>
      </c>
      <c r="M35" s="57" t="s">
        <v>168</v>
      </c>
      <c r="N35" s="57"/>
      <c r="O35" s="58" t="s">
        <v>169</v>
      </c>
      <c r="P35" s="59" t="s">
        <v>86</v>
      </c>
      <c r="Q35" s="26">
        <v>9594</v>
      </c>
      <c r="R35" s="57">
        <v>2001009566474</v>
      </c>
      <c r="S35" s="57" t="s">
        <v>170</v>
      </c>
      <c r="T35" s="26">
        <v>36521844</v>
      </c>
      <c r="U35" s="26" t="s">
        <v>173</v>
      </c>
      <c r="V35" s="57" t="s">
        <v>174</v>
      </c>
      <c r="W35" s="60">
        <v>0</v>
      </c>
      <c r="X35" s="57"/>
      <c r="Y35" s="57">
        <v>0</v>
      </c>
      <c r="Z35" s="58">
        <v>8549658</v>
      </c>
      <c r="AA35" s="58">
        <v>9659</v>
      </c>
      <c r="AB35" s="26"/>
      <c r="AC35" s="23">
        <v>4598231</v>
      </c>
      <c r="AD35" s="26" t="s">
        <v>24</v>
      </c>
      <c r="AE35" s="23" t="s">
        <v>89</v>
      </c>
      <c r="AF35" s="26">
        <v>3000</v>
      </c>
      <c r="AG35" s="26">
        <v>6.14</v>
      </c>
      <c r="AH35" s="26">
        <f t="shared" si="0"/>
        <v>18420</v>
      </c>
    </row>
    <row r="36" spans="2:34" x14ac:dyDescent="0.25">
      <c r="B36" s="56">
        <v>42756.385925925926</v>
      </c>
      <c r="C36" s="26">
        <v>5345</v>
      </c>
      <c r="D36" s="26" t="s">
        <v>94</v>
      </c>
      <c r="E36" s="26" t="s">
        <v>138</v>
      </c>
      <c r="F36" s="26" t="s">
        <v>86</v>
      </c>
      <c r="G36" s="26" t="s">
        <v>91</v>
      </c>
      <c r="H36" s="26"/>
      <c r="I36" s="26" t="s">
        <v>86</v>
      </c>
      <c r="J36" s="26" t="s">
        <v>19</v>
      </c>
      <c r="K36" s="26">
        <v>0</v>
      </c>
      <c r="L36" s="26">
        <v>0</v>
      </c>
      <c r="M36" s="57" t="s">
        <v>168</v>
      </c>
      <c r="N36" s="57"/>
      <c r="O36" s="58" t="s">
        <v>169</v>
      </c>
      <c r="P36" s="59" t="s">
        <v>86</v>
      </c>
      <c r="Q36" s="26">
        <v>9595</v>
      </c>
      <c r="R36" s="57">
        <v>2001009566474</v>
      </c>
      <c r="S36" s="57" t="s">
        <v>170</v>
      </c>
      <c r="T36" s="26">
        <v>36521844</v>
      </c>
      <c r="U36" s="26" t="s">
        <v>175</v>
      </c>
      <c r="V36" s="57" t="s">
        <v>176</v>
      </c>
      <c r="W36" s="60">
        <v>0</v>
      </c>
      <c r="X36" s="57"/>
      <c r="Y36" s="57">
        <v>0</v>
      </c>
      <c r="Z36" s="58">
        <v>8549658</v>
      </c>
      <c r="AA36" s="58">
        <v>9660</v>
      </c>
      <c r="AB36" s="26"/>
      <c r="AC36" s="23">
        <v>4598231</v>
      </c>
      <c r="AD36" s="26" t="s">
        <v>24</v>
      </c>
      <c r="AE36" s="23" t="s">
        <v>89</v>
      </c>
      <c r="AF36" s="26">
        <v>5000</v>
      </c>
      <c r="AG36" s="26">
        <v>6.14</v>
      </c>
      <c r="AH36" s="26">
        <f t="shared" si="0"/>
        <v>30700</v>
      </c>
    </row>
    <row r="37" spans="2:34" x14ac:dyDescent="0.25">
      <c r="B37" s="56">
        <v>42757.385925925926</v>
      </c>
      <c r="C37" s="26">
        <v>5346</v>
      </c>
      <c r="D37" s="26" t="s">
        <v>94</v>
      </c>
      <c r="E37" s="26" t="s">
        <v>138</v>
      </c>
      <c r="F37" s="26" t="s">
        <v>86</v>
      </c>
      <c r="G37" s="26" t="s">
        <v>91</v>
      </c>
      <c r="H37" s="26"/>
      <c r="I37" s="26" t="s">
        <v>86</v>
      </c>
      <c r="J37" s="26" t="s">
        <v>19</v>
      </c>
      <c r="K37" s="26">
        <v>0</v>
      </c>
      <c r="L37" s="26">
        <v>0</v>
      </c>
      <c r="M37" s="57" t="s">
        <v>168</v>
      </c>
      <c r="N37" s="57"/>
      <c r="O37" s="58" t="s">
        <v>169</v>
      </c>
      <c r="P37" s="59" t="s">
        <v>86</v>
      </c>
      <c r="Q37" s="26">
        <v>9596</v>
      </c>
      <c r="R37" s="57">
        <v>2001009566474</v>
      </c>
      <c r="S37" s="57" t="s">
        <v>170</v>
      </c>
      <c r="T37" s="26">
        <v>36521844</v>
      </c>
      <c r="U37" s="26" t="s">
        <v>177</v>
      </c>
      <c r="V37" s="57" t="s">
        <v>178</v>
      </c>
      <c r="W37" s="60">
        <v>0</v>
      </c>
      <c r="X37" s="57"/>
      <c r="Y37" s="57">
        <v>0</v>
      </c>
      <c r="Z37" s="58">
        <v>8549658</v>
      </c>
      <c r="AA37" s="58">
        <v>9661</v>
      </c>
      <c r="AB37" s="26"/>
      <c r="AC37" s="23">
        <v>4598231</v>
      </c>
      <c r="AD37" s="26" t="s">
        <v>24</v>
      </c>
      <c r="AE37" s="23" t="s">
        <v>89</v>
      </c>
      <c r="AF37" s="26">
        <v>4000</v>
      </c>
      <c r="AG37" s="26">
        <v>6.14</v>
      </c>
      <c r="AH37" s="26">
        <f t="shared" si="0"/>
        <v>24560</v>
      </c>
    </row>
    <row r="38" spans="2:34" x14ac:dyDescent="0.25">
      <c r="B38" s="56">
        <v>42758.385925925926</v>
      </c>
      <c r="C38" s="26">
        <v>5347</v>
      </c>
      <c r="D38" s="26" t="s">
        <v>94</v>
      </c>
      <c r="E38" s="26" t="s">
        <v>138</v>
      </c>
      <c r="F38" s="26" t="s">
        <v>86</v>
      </c>
      <c r="G38" s="26" t="s">
        <v>86</v>
      </c>
      <c r="H38" s="26"/>
      <c r="I38" s="26" t="s">
        <v>86</v>
      </c>
      <c r="J38" s="26" t="s">
        <v>19</v>
      </c>
      <c r="K38" s="26">
        <v>0</v>
      </c>
      <c r="L38" s="26">
        <v>0</v>
      </c>
      <c r="M38" s="57" t="s">
        <v>179</v>
      </c>
      <c r="N38" s="57"/>
      <c r="O38" s="58"/>
      <c r="P38" s="59" t="s">
        <v>180</v>
      </c>
      <c r="Q38" s="26">
        <v>9597</v>
      </c>
      <c r="R38" s="57">
        <v>2001009566474</v>
      </c>
      <c r="S38" s="57" t="s">
        <v>181</v>
      </c>
      <c r="T38" s="26">
        <v>85488455</v>
      </c>
      <c r="U38" s="26" t="s">
        <v>182</v>
      </c>
      <c r="V38" s="57" t="s">
        <v>183</v>
      </c>
      <c r="W38" s="60">
        <v>0</v>
      </c>
      <c r="X38" s="57"/>
      <c r="Y38" s="57">
        <v>0</v>
      </c>
      <c r="Z38" s="58">
        <v>1025987</v>
      </c>
      <c r="AA38" s="58">
        <v>9662</v>
      </c>
      <c r="AB38" s="26"/>
      <c r="AC38" s="23">
        <v>4598231</v>
      </c>
      <c r="AD38" s="26" t="s">
        <v>24</v>
      </c>
      <c r="AE38" s="23" t="s">
        <v>89</v>
      </c>
      <c r="AF38" s="26">
        <v>8000</v>
      </c>
      <c r="AG38" s="26">
        <v>6.14</v>
      </c>
      <c r="AH38" s="26">
        <f t="shared" si="0"/>
        <v>49120</v>
      </c>
    </row>
    <row r="39" spans="2:34" x14ac:dyDescent="0.25">
      <c r="B39" s="56">
        <v>42759.385925925926</v>
      </c>
      <c r="C39" s="26">
        <v>5348</v>
      </c>
      <c r="D39" s="26" t="s">
        <v>94</v>
      </c>
      <c r="E39" s="26" t="s">
        <v>138</v>
      </c>
      <c r="F39" s="26" t="s">
        <v>86</v>
      </c>
      <c r="G39" s="26" t="s">
        <v>86</v>
      </c>
      <c r="H39" s="26"/>
      <c r="I39" s="26" t="s">
        <v>86</v>
      </c>
      <c r="J39" s="26" t="s">
        <v>19</v>
      </c>
      <c r="K39" s="26">
        <v>0</v>
      </c>
      <c r="L39" s="26">
        <v>0</v>
      </c>
      <c r="M39" s="57" t="s">
        <v>179</v>
      </c>
      <c r="N39" s="57"/>
      <c r="O39" s="58"/>
      <c r="P39" s="59" t="s">
        <v>180</v>
      </c>
      <c r="Q39" s="26">
        <v>9598</v>
      </c>
      <c r="R39" s="57">
        <v>2001009566474</v>
      </c>
      <c r="S39" s="57" t="s">
        <v>181</v>
      </c>
      <c r="T39" s="26">
        <v>85488455</v>
      </c>
      <c r="U39" s="26" t="s">
        <v>184</v>
      </c>
      <c r="V39" s="57" t="s">
        <v>185</v>
      </c>
      <c r="W39" s="60">
        <v>0</v>
      </c>
      <c r="X39" s="57"/>
      <c r="Y39" s="57">
        <v>0</v>
      </c>
      <c r="Z39" s="58">
        <v>1025987</v>
      </c>
      <c r="AA39" s="58">
        <v>9663</v>
      </c>
      <c r="AB39" s="26"/>
      <c r="AC39" s="23">
        <v>4598231</v>
      </c>
      <c r="AD39" s="26" t="s">
        <v>24</v>
      </c>
      <c r="AE39" s="23" t="s">
        <v>89</v>
      </c>
      <c r="AF39" s="26">
        <v>1000</v>
      </c>
      <c r="AG39" s="26">
        <v>6.14</v>
      </c>
      <c r="AH39" s="26">
        <f t="shared" si="0"/>
        <v>6140</v>
      </c>
    </row>
    <row r="40" spans="2:34" x14ac:dyDescent="0.25">
      <c r="B40" s="56">
        <v>42760.385925925926</v>
      </c>
      <c r="C40" s="26">
        <v>5349</v>
      </c>
      <c r="D40" s="26" t="s">
        <v>94</v>
      </c>
      <c r="E40" s="26" t="s">
        <v>138</v>
      </c>
      <c r="F40" s="26" t="s">
        <v>86</v>
      </c>
      <c r="G40" s="26" t="s">
        <v>86</v>
      </c>
      <c r="H40" s="26"/>
      <c r="I40" s="26" t="s">
        <v>86</v>
      </c>
      <c r="J40" s="26" t="s">
        <v>19</v>
      </c>
      <c r="K40" s="26">
        <v>0</v>
      </c>
      <c r="L40" s="26">
        <v>0</v>
      </c>
      <c r="M40" s="57" t="s">
        <v>179</v>
      </c>
      <c r="N40" s="57"/>
      <c r="O40" s="58"/>
      <c r="P40" s="59" t="s">
        <v>180</v>
      </c>
      <c r="Q40" s="26">
        <v>9599</v>
      </c>
      <c r="R40" s="57">
        <v>2001009566474</v>
      </c>
      <c r="S40" s="57" t="s">
        <v>181</v>
      </c>
      <c r="T40" s="26">
        <v>85488455</v>
      </c>
      <c r="U40" s="26" t="s">
        <v>186</v>
      </c>
      <c r="V40" s="57" t="s">
        <v>187</v>
      </c>
      <c r="W40" s="60">
        <v>0</v>
      </c>
      <c r="X40" s="57"/>
      <c r="Y40" s="57">
        <v>0</v>
      </c>
      <c r="Z40" s="58">
        <v>1025987</v>
      </c>
      <c r="AA40" s="58">
        <v>9664</v>
      </c>
      <c r="AB40" s="26"/>
      <c r="AC40" s="23">
        <v>4598231</v>
      </c>
      <c r="AD40" s="26" t="s">
        <v>24</v>
      </c>
      <c r="AE40" s="23" t="s">
        <v>89</v>
      </c>
      <c r="AF40" s="26">
        <v>6000</v>
      </c>
      <c r="AG40" s="26">
        <v>6.14</v>
      </c>
      <c r="AH40" s="26">
        <f t="shared" si="0"/>
        <v>36840</v>
      </c>
    </row>
    <row r="41" spans="2:34" x14ac:dyDescent="0.25">
      <c r="B41" s="56">
        <v>42761.385925925926</v>
      </c>
      <c r="C41" s="26">
        <v>5350</v>
      </c>
      <c r="D41" s="26" t="s">
        <v>94</v>
      </c>
      <c r="E41" s="26" t="s">
        <v>138</v>
      </c>
      <c r="F41" s="26" t="s">
        <v>86</v>
      </c>
      <c r="G41" s="26" t="s">
        <v>86</v>
      </c>
      <c r="H41" s="26"/>
      <c r="I41" s="26" t="s">
        <v>86</v>
      </c>
      <c r="J41" s="26" t="s">
        <v>188</v>
      </c>
      <c r="K41" s="26">
        <v>0</v>
      </c>
      <c r="L41" s="26">
        <v>0</v>
      </c>
      <c r="M41" s="57" t="s">
        <v>189</v>
      </c>
      <c r="N41" s="57"/>
      <c r="O41" s="58"/>
      <c r="P41" s="59" t="s">
        <v>86</v>
      </c>
      <c r="Q41" s="26">
        <v>9600</v>
      </c>
      <c r="R41" s="57">
        <v>2001009566474</v>
      </c>
      <c r="S41" s="57" t="s">
        <v>190</v>
      </c>
      <c r="T41" s="26">
        <v>957421558</v>
      </c>
      <c r="U41" s="26" t="s">
        <v>191</v>
      </c>
      <c r="V41" s="57" t="s">
        <v>192</v>
      </c>
      <c r="W41" s="60">
        <v>69584874</v>
      </c>
      <c r="X41" s="57" t="s">
        <v>143</v>
      </c>
      <c r="Y41" s="57">
        <v>0</v>
      </c>
      <c r="Z41" s="58">
        <v>0</v>
      </c>
      <c r="AA41" s="58"/>
      <c r="AB41" s="26"/>
      <c r="AC41" s="23">
        <v>4598231</v>
      </c>
      <c r="AD41" s="26" t="s">
        <v>24</v>
      </c>
      <c r="AE41" s="23" t="s">
        <v>89</v>
      </c>
      <c r="AF41" s="26">
        <v>9500</v>
      </c>
      <c r="AG41" s="26">
        <v>8.3000000000000007</v>
      </c>
      <c r="AH41" s="26">
        <f t="shared" si="0"/>
        <v>78850</v>
      </c>
    </row>
    <row r="42" spans="2:34" x14ac:dyDescent="0.25">
      <c r="B42" s="56">
        <v>42762.385925925926</v>
      </c>
      <c r="C42" s="26">
        <v>5351</v>
      </c>
      <c r="D42" s="26" t="s">
        <v>94</v>
      </c>
      <c r="E42" s="26" t="s">
        <v>138</v>
      </c>
      <c r="F42" s="26" t="s">
        <v>86</v>
      </c>
      <c r="G42" s="26" t="s">
        <v>86</v>
      </c>
      <c r="H42" s="26"/>
      <c r="I42" s="26" t="s">
        <v>86</v>
      </c>
      <c r="J42" s="26" t="s">
        <v>19</v>
      </c>
      <c r="K42" s="26">
        <v>0</v>
      </c>
      <c r="L42" s="26">
        <v>0</v>
      </c>
      <c r="M42" s="57" t="s">
        <v>153</v>
      </c>
      <c r="N42" s="57"/>
      <c r="O42" s="58"/>
      <c r="P42" s="59" t="s">
        <v>86</v>
      </c>
      <c r="Q42" s="26">
        <v>9601</v>
      </c>
      <c r="R42" s="57">
        <v>2001009566474</v>
      </c>
      <c r="S42" s="57" t="s">
        <v>140</v>
      </c>
      <c r="T42" s="26">
        <v>845967845</v>
      </c>
      <c r="U42" s="26" t="s">
        <v>193</v>
      </c>
      <c r="V42" s="57" t="s">
        <v>194</v>
      </c>
      <c r="W42" s="60">
        <v>2584798</v>
      </c>
      <c r="X42" s="57" t="s">
        <v>143</v>
      </c>
      <c r="Y42" s="57">
        <v>46</v>
      </c>
      <c r="Z42" s="58">
        <v>0</v>
      </c>
      <c r="AA42" s="58"/>
      <c r="AB42" s="26"/>
      <c r="AC42" s="23">
        <v>4598231</v>
      </c>
      <c r="AD42" s="26" t="s">
        <v>24</v>
      </c>
      <c r="AE42" s="23" t="s">
        <v>89</v>
      </c>
      <c r="AF42" s="26">
        <v>8000</v>
      </c>
      <c r="AG42" s="26">
        <v>6.14</v>
      </c>
      <c r="AH42" s="26">
        <f t="shared" si="0"/>
        <v>49120</v>
      </c>
    </row>
    <row r="43" spans="2:34" x14ac:dyDescent="0.25">
      <c r="B43" s="56">
        <v>42763.385925925926</v>
      </c>
      <c r="C43" s="26">
        <v>5352</v>
      </c>
      <c r="D43" s="26" t="s">
        <v>94</v>
      </c>
      <c r="E43" s="26" t="s">
        <v>138</v>
      </c>
      <c r="F43" s="26" t="s">
        <v>86</v>
      </c>
      <c r="G43" s="26" t="s">
        <v>86</v>
      </c>
      <c r="H43" s="26"/>
      <c r="I43" s="26" t="s">
        <v>86</v>
      </c>
      <c r="J43" s="26" t="s">
        <v>19</v>
      </c>
      <c r="K43" s="26">
        <v>0</v>
      </c>
      <c r="L43" s="26">
        <v>0</v>
      </c>
      <c r="M43" s="57" t="s">
        <v>156</v>
      </c>
      <c r="N43" s="57"/>
      <c r="O43" s="58"/>
      <c r="P43" s="59" t="s">
        <v>86</v>
      </c>
      <c r="Q43" s="26">
        <v>9602</v>
      </c>
      <c r="R43" s="57">
        <v>2001009566474</v>
      </c>
      <c r="S43" s="57" t="s">
        <v>140</v>
      </c>
      <c r="T43" s="26">
        <v>845967845</v>
      </c>
      <c r="U43" s="26" t="s">
        <v>195</v>
      </c>
      <c r="V43" s="57" t="s">
        <v>196</v>
      </c>
      <c r="W43" s="60">
        <v>2584798</v>
      </c>
      <c r="X43" s="57" t="s">
        <v>143</v>
      </c>
      <c r="Y43" s="57">
        <v>53434</v>
      </c>
      <c r="Z43" s="58">
        <v>0</v>
      </c>
      <c r="AA43" s="58"/>
      <c r="AB43" s="26"/>
      <c r="AC43" s="23">
        <v>4598231</v>
      </c>
      <c r="AD43" s="26" t="s">
        <v>24</v>
      </c>
      <c r="AE43" s="23" t="s">
        <v>89</v>
      </c>
      <c r="AF43" s="26">
        <v>1000</v>
      </c>
      <c r="AG43" s="26">
        <v>6.14</v>
      </c>
      <c r="AH43" s="26">
        <f t="shared" si="0"/>
        <v>6140</v>
      </c>
    </row>
    <row r="44" spans="2:34" x14ac:dyDescent="0.25">
      <c r="B44" s="56">
        <v>42764.385925925926</v>
      </c>
      <c r="C44" s="26">
        <v>5353</v>
      </c>
      <c r="D44" s="26" t="s">
        <v>94</v>
      </c>
      <c r="E44" s="26" t="s">
        <v>138</v>
      </c>
      <c r="F44" s="26" t="s">
        <v>86</v>
      </c>
      <c r="G44" s="26" t="s">
        <v>86</v>
      </c>
      <c r="H44" s="26"/>
      <c r="I44" s="26" t="s">
        <v>86</v>
      </c>
      <c r="J44" s="26" t="s">
        <v>19</v>
      </c>
      <c r="K44" s="26">
        <v>0</v>
      </c>
      <c r="L44" s="26">
        <v>0</v>
      </c>
      <c r="M44" s="57" t="s">
        <v>159</v>
      </c>
      <c r="N44" s="57"/>
      <c r="O44" s="58"/>
      <c r="P44" s="59" t="s">
        <v>86</v>
      </c>
      <c r="Q44" s="26">
        <v>9603</v>
      </c>
      <c r="R44" s="57">
        <v>2001009566474</v>
      </c>
      <c r="S44" s="57" t="s">
        <v>140</v>
      </c>
      <c r="T44" s="26">
        <v>845967845</v>
      </c>
      <c r="U44" s="26" t="s">
        <v>197</v>
      </c>
      <c r="V44" s="57" t="s">
        <v>198</v>
      </c>
      <c r="W44" s="60">
        <v>2584798</v>
      </c>
      <c r="X44" s="57" t="s">
        <v>143</v>
      </c>
      <c r="Y44" s="57">
        <v>457</v>
      </c>
      <c r="Z44" s="58">
        <v>0</v>
      </c>
      <c r="AA44" s="58"/>
      <c r="AB44" s="26"/>
      <c r="AC44" s="23">
        <v>4598231</v>
      </c>
      <c r="AD44" s="26" t="s">
        <v>24</v>
      </c>
      <c r="AE44" s="23" t="s">
        <v>89</v>
      </c>
      <c r="AF44" s="26">
        <v>3000</v>
      </c>
      <c r="AG44" s="26">
        <v>6.14</v>
      </c>
      <c r="AH44" s="26">
        <f t="shared" si="0"/>
        <v>18420</v>
      </c>
    </row>
    <row r="45" spans="2:34" x14ac:dyDescent="0.25">
      <c r="B45" s="56">
        <v>42765.385925925926</v>
      </c>
      <c r="C45" s="26">
        <v>5354</v>
      </c>
      <c r="D45" s="26" t="s">
        <v>94</v>
      </c>
      <c r="E45" s="26" t="s">
        <v>138</v>
      </c>
      <c r="F45" s="26" t="s">
        <v>86</v>
      </c>
      <c r="G45" s="26" t="s">
        <v>86</v>
      </c>
      <c r="H45" s="26"/>
      <c r="I45" s="26" t="s">
        <v>86</v>
      </c>
      <c r="J45" s="26" t="s">
        <v>19</v>
      </c>
      <c r="K45" s="26">
        <v>0</v>
      </c>
      <c r="L45" s="26">
        <v>0</v>
      </c>
      <c r="M45" s="57" t="s">
        <v>162</v>
      </c>
      <c r="N45" s="57"/>
      <c r="O45" s="58"/>
      <c r="P45" s="59" t="s">
        <v>86</v>
      </c>
      <c r="Q45" s="26">
        <v>9604</v>
      </c>
      <c r="R45" s="57">
        <v>2001009566474</v>
      </c>
      <c r="S45" s="57" t="s">
        <v>140</v>
      </c>
      <c r="T45" s="26">
        <v>845967845</v>
      </c>
      <c r="U45" s="26" t="s">
        <v>199</v>
      </c>
      <c r="V45" s="57" t="s">
        <v>200</v>
      </c>
      <c r="W45" s="60">
        <v>2584798</v>
      </c>
      <c r="X45" s="57" t="s">
        <v>143</v>
      </c>
      <c r="Y45" s="57">
        <v>576</v>
      </c>
      <c r="Z45" s="58">
        <v>0</v>
      </c>
      <c r="AA45" s="58"/>
      <c r="AB45" s="26"/>
      <c r="AC45" s="23">
        <v>4598231</v>
      </c>
      <c r="AD45" s="26" t="s">
        <v>24</v>
      </c>
      <c r="AE45" s="23" t="s">
        <v>89</v>
      </c>
      <c r="AF45" s="26">
        <v>9000</v>
      </c>
      <c r="AG45" s="26">
        <v>6.14</v>
      </c>
      <c r="AH45" s="26">
        <f t="shared" si="0"/>
        <v>55260</v>
      </c>
    </row>
    <row r="46" spans="2:34" x14ac:dyDescent="0.25">
      <c r="B46" s="56">
        <v>42766.385925925926</v>
      </c>
      <c r="C46" s="26">
        <v>5355</v>
      </c>
      <c r="D46" s="26" t="s">
        <v>94</v>
      </c>
      <c r="E46" s="26" t="s">
        <v>138</v>
      </c>
      <c r="F46" s="26" t="s">
        <v>86</v>
      </c>
      <c r="G46" s="26" t="s">
        <v>86</v>
      </c>
      <c r="H46" s="26"/>
      <c r="I46" s="26" t="s">
        <v>86</v>
      </c>
      <c r="J46" s="26" t="s">
        <v>188</v>
      </c>
      <c r="K46" s="26">
        <v>0</v>
      </c>
      <c r="L46" s="26">
        <v>0</v>
      </c>
      <c r="M46" s="57" t="s">
        <v>189</v>
      </c>
      <c r="N46" s="57"/>
      <c r="O46" s="58"/>
      <c r="P46" s="59" t="s">
        <v>86</v>
      </c>
      <c r="Q46" s="26">
        <v>9605</v>
      </c>
      <c r="R46" s="57">
        <v>2001009566474</v>
      </c>
      <c r="S46" s="57" t="s">
        <v>190</v>
      </c>
      <c r="T46" s="26">
        <v>957421558</v>
      </c>
      <c r="U46" s="26" t="s">
        <v>201</v>
      </c>
      <c r="V46" s="57" t="s">
        <v>202</v>
      </c>
      <c r="W46" s="60">
        <v>69584874</v>
      </c>
      <c r="X46" s="57" t="s">
        <v>143</v>
      </c>
      <c r="Y46" s="57">
        <v>0</v>
      </c>
      <c r="Z46" s="58">
        <v>0</v>
      </c>
      <c r="AA46" s="58"/>
      <c r="AB46" s="26"/>
      <c r="AC46" s="23">
        <v>4598231</v>
      </c>
      <c r="AD46" s="26" t="s">
        <v>24</v>
      </c>
      <c r="AE46" s="23" t="s">
        <v>89</v>
      </c>
      <c r="AF46" s="26">
        <v>1500</v>
      </c>
      <c r="AG46" s="26">
        <v>8.3000000000000007</v>
      </c>
      <c r="AH46" s="26">
        <f t="shared" si="0"/>
        <v>12450.000000000002</v>
      </c>
    </row>
  </sheetData>
  <mergeCells count="4">
    <mergeCell ref="A2:A3"/>
    <mergeCell ref="B15:P15"/>
    <mergeCell ref="Q15:U15"/>
    <mergeCell ref="Z15:AE1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C3" sqref="C3"/>
    </sheetView>
  </sheetViews>
  <sheetFormatPr baseColWidth="10" defaultRowHeight="15" x14ac:dyDescent="0.25"/>
  <sheetData>
    <row r="1" spans="1:15" x14ac:dyDescent="0.25">
      <c r="A1" s="4">
        <v>123456789</v>
      </c>
      <c r="B1" s="5">
        <v>43341</v>
      </c>
      <c r="C1" s="6" t="s">
        <v>3</v>
      </c>
      <c r="D1" s="6" t="s">
        <v>6</v>
      </c>
      <c r="E1" s="6" t="s">
        <v>5</v>
      </c>
      <c r="F1" s="6" t="s">
        <v>8</v>
      </c>
      <c r="G1" s="6">
        <v>1</v>
      </c>
      <c r="H1" s="6">
        <v>153</v>
      </c>
      <c r="I1" s="6" t="s">
        <v>9</v>
      </c>
      <c r="J1" s="6" t="s">
        <v>10</v>
      </c>
      <c r="K1" s="6" t="s">
        <v>11</v>
      </c>
      <c r="L1" s="6" t="s">
        <v>12</v>
      </c>
      <c r="M1" s="7">
        <v>33768</v>
      </c>
      <c r="N1" s="6">
        <v>33700</v>
      </c>
      <c r="O1" s="6" t="s">
        <v>13</v>
      </c>
    </row>
    <row r="2" spans="1:15" x14ac:dyDescent="0.25">
      <c r="A2" s="4">
        <v>123456789</v>
      </c>
      <c r="B2" s="5">
        <v>42644</v>
      </c>
      <c r="C2" s="6" t="s">
        <v>3</v>
      </c>
      <c r="D2" s="6" t="s">
        <v>7</v>
      </c>
      <c r="E2" s="6" t="s">
        <v>5</v>
      </c>
      <c r="F2" s="6" t="s">
        <v>8</v>
      </c>
      <c r="G2" s="6">
        <v>2</v>
      </c>
      <c r="H2" s="6">
        <v>154</v>
      </c>
      <c r="I2" s="6" t="s">
        <v>9</v>
      </c>
      <c r="J2" s="6" t="s">
        <v>10</v>
      </c>
      <c r="K2" s="6" t="s">
        <v>11</v>
      </c>
      <c r="L2" s="6" t="s">
        <v>12</v>
      </c>
      <c r="M2" s="7">
        <v>33901</v>
      </c>
      <c r="N2" s="6">
        <v>33850</v>
      </c>
      <c r="O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Transporte Cisterna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Luis Martin Quispe Coaquira</dc:creator>
  <cp:lastModifiedBy>DTIC - Jhonny Parra Mamani</cp:lastModifiedBy>
  <dcterms:created xsi:type="dcterms:W3CDTF">2019-04-04T21:44:32Z</dcterms:created>
  <dcterms:modified xsi:type="dcterms:W3CDTF">2021-04-09T18:49:16Z</dcterms:modified>
</cp:coreProperties>
</file>