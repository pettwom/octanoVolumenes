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120" windowWidth="18195" windowHeight="8445" tabRatio="693"/>
  </bookViews>
  <sheets>
    <sheet name="Listado Tipos de Operaciones " sheetId="3" r:id="rId1"/>
    <sheet name="Ejm. salidaXVenta" sheetId="5" r:id="rId2"/>
    <sheet name="Ejm. salidaXMovInterno" sheetId="4" r:id="rId3"/>
    <sheet name="Ejm. salidaXMerma" sheetId="7" r:id="rId4"/>
    <sheet name="Ejm. salidaXTransferencia" sheetId="6" r:id="rId5"/>
  </sheets>
  <calcPr calcId="152511"/>
</workbook>
</file>

<file path=xl/calcChain.xml><?xml version="1.0" encoding="utf-8"?>
<calcChain xmlns="http://schemas.openxmlformats.org/spreadsheetml/2006/main">
  <c r="AF22" i="5" l="1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F3" i="5"/>
  <c r="AF2" i="5"/>
  <c r="AF1" i="5"/>
</calcChain>
</file>

<file path=xl/sharedStrings.xml><?xml version="1.0" encoding="utf-8"?>
<sst xmlns="http://schemas.openxmlformats.org/spreadsheetml/2006/main" count="602" uniqueCount="139">
  <si>
    <t>CANTIDAD</t>
  </si>
  <si>
    <t>PRECIO</t>
  </si>
  <si>
    <t>V</t>
  </si>
  <si>
    <t>COD. CTRL</t>
  </si>
  <si>
    <t>NUMERO DE FACTURA</t>
  </si>
  <si>
    <t>NUMERO AUTORIZACION</t>
  </si>
  <si>
    <t>PAIS</t>
  </si>
  <si>
    <t>BOLIVIA</t>
  </si>
  <si>
    <t>NIT</t>
  </si>
  <si>
    <t>RAZON SOCIAL</t>
  </si>
  <si>
    <t>TEMPERATURA C°</t>
  </si>
  <si>
    <t>ARGENTINA</t>
  </si>
  <si>
    <t>JFA1</t>
  </si>
  <si>
    <t>AVG100</t>
  </si>
  <si>
    <t>RESPONSABLE</t>
  </si>
  <si>
    <t>NOID</t>
  </si>
  <si>
    <t>NUMERO REFERENCIA (NOTA DE VENTA)</t>
  </si>
  <si>
    <t>NUMERO DE VUELO</t>
  </si>
  <si>
    <t>SALIDA X VENTA</t>
  </si>
  <si>
    <t>SALIDA X MERMA</t>
  </si>
  <si>
    <t>SALIDA X TRANSFERENCIA</t>
  </si>
  <si>
    <t>55-99-A2-C4</t>
  </si>
  <si>
    <t>85-78-F3-0A</t>
  </si>
  <si>
    <t>TAM</t>
  </si>
  <si>
    <t>AEROPRIVADA</t>
  </si>
  <si>
    <t>NV0000456</t>
  </si>
  <si>
    <t>NV0000567</t>
  </si>
  <si>
    <t>NT0000353</t>
  </si>
  <si>
    <t>NT0000354</t>
  </si>
  <si>
    <t>NT0000355</t>
  </si>
  <si>
    <t>NT0000356</t>
  </si>
  <si>
    <t>02/10/2016 09:15:44</t>
  </si>
  <si>
    <t>03/10/2016 10:54:21</t>
  </si>
  <si>
    <t>A</t>
  </si>
  <si>
    <t>TK-JF01</t>
  </si>
  <si>
    <t>TQ84454-343</t>
  </si>
  <si>
    <t>76-34-A4-F4</t>
  </si>
  <si>
    <t>FUERA DE ALA SRL</t>
  </si>
  <si>
    <t>NV0000958</t>
  </si>
  <si>
    <t>CAL-23002</t>
  </si>
  <si>
    <t>DOC - VUELO</t>
  </si>
  <si>
    <t>DOC - FACTURA</t>
  </si>
  <si>
    <t>DOC - PRINCIPAL</t>
  </si>
  <si>
    <t>DOC - CALIDAD</t>
  </si>
  <si>
    <t>IMPORTE</t>
  </si>
  <si>
    <t>AUTORIZACION SUST. CONTROLADAS</t>
  </si>
  <si>
    <t>FECHA Y HORA</t>
  </si>
  <si>
    <t>respVuelo</t>
  </si>
  <si>
    <t>DOC - SUST.CONT.</t>
  </si>
  <si>
    <t>RF-JF01</t>
  </si>
  <si>
    <t>TK-JF03</t>
  </si>
  <si>
    <t>NUMERO ID SISTEMA ORIGEN (OPCIONAL)</t>
  </si>
  <si>
    <t>RF</t>
  </si>
  <si>
    <t>RF-JF02</t>
  </si>
  <si>
    <t>TK</t>
  </si>
  <si>
    <t>CS</t>
  </si>
  <si>
    <t>PLA894</t>
  </si>
  <si>
    <t>MAT123445</t>
  </si>
  <si>
    <t>MAT143577</t>
  </si>
  <si>
    <t>TQ-PROP-01</t>
  </si>
  <si>
    <t>IDENTIFICADOR (MATRICULA/PLACA)</t>
  </si>
  <si>
    <t>PLA4534</t>
  </si>
  <si>
    <t>88-59-AF-55</t>
  </si>
  <si>
    <t>FUERA DE ALA EN ENVASE</t>
  </si>
  <si>
    <t>NV0000345</t>
  </si>
  <si>
    <t>TURR</t>
  </si>
  <si>
    <t>INTERNO</t>
  </si>
  <si>
    <t>ESTADO
V = VALIDO
A = ANULADO</t>
  </si>
  <si>
    <t>PRODUCTO
AVG100 = GASOLINA DE AVIACION GRADO 100
JFA1 = JET FUEL A1</t>
  </si>
  <si>
    <t>AEROPUERTO VURU VIRU</t>
  </si>
  <si>
    <t>ENTIDAD DESTINO                           (RAZON SOCIAL)
NOID = NO IDENTIFICADO
INTERNO = MOVIMIENTO INTERNO DE PROD.</t>
  </si>
  <si>
    <t>NT0000357</t>
  </si>
  <si>
    <t>NT000056</t>
  </si>
  <si>
    <t>NT00034</t>
  </si>
  <si>
    <t>MAT2424</t>
  </si>
  <si>
    <t>MAT6</t>
  </si>
  <si>
    <t>MAT476464</t>
  </si>
  <si>
    <t>MAT3454</t>
  </si>
  <si>
    <t>MAT75608</t>
  </si>
  <si>
    <t>MAT346</t>
  </si>
  <si>
    <t>MAT45</t>
  </si>
  <si>
    <t>MAT780</t>
  </si>
  <si>
    <t>NV000785</t>
  </si>
  <si>
    <t>NV000786</t>
  </si>
  <si>
    <t>NV000787</t>
  </si>
  <si>
    <t>NV000788</t>
  </si>
  <si>
    <t>NV000789</t>
  </si>
  <si>
    <t>NV000790</t>
  </si>
  <si>
    <t>NV000791</t>
  </si>
  <si>
    <t>NV000792</t>
  </si>
  <si>
    <t>NV000793</t>
  </si>
  <si>
    <t>NV000794</t>
  </si>
  <si>
    <t>NV000795</t>
  </si>
  <si>
    <t>NV000796</t>
  </si>
  <si>
    <t>NV000797</t>
  </si>
  <si>
    <t>NV000798</t>
  </si>
  <si>
    <t>NV000799</t>
  </si>
  <si>
    <t>NV000800</t>
  </si>
  <si>
    <t>NV000801</t>
  </si>
  <si>
    <t>NV000802</t>
  </si>
  <si>
    <t>NV000803</t>
  </si>
  <si>
    <t>NV000804</t>
  </si>
  <si>
    <t>NV000805</t>
  </si>
  <si>
    <t>NV000806</t>
  </si>
  <si>
    <t>NT0000358</t>
  </si>
  <si>
    <t>TIPO DE OPERACIÓN\COLUMNA CSV</t>
  </si>
  <si>
    <r>
      <t xml:space="preserve">TIPO DE INFRAESTRUCTURA </t>
    </r>
    <r>
      <rPr>
        <b/>
        <sz val="14"/>
        <color theme="1"/>
        <rFont val="Calibri"/>
        <family val="2"/>
      </rPr>
      <t>DESPACHANTE</t>
    </r>
    <r>
      <rPr>
        <b/>
        <sz val="11"/>
        <color theme="1"/>
        <rFont val="Calibri"/>
        <family val="2"/>
      </rPr>
      <t xml:space="preserve">
NOID = NO IDENTIFICADO
TK = TANQUE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</si>
  <si>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DESPACHANTE</t>
    </r>
    <r>
      <rPr>
        <b/>
        <sz val="11"/>
        <rFont val="Calibri"/>
        <family val="2"/>
      </rPr>
      <t xml:space="preserve"> (CODIGO OPERADOR REGISTRADO EN INFRAESTRUCTURA)</t>
    </r>
  </si>
  <si>
    <r>
      <t xml:space="preserve">TIPO DE 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
NOID = NO IDENTIFICADO
TK = TANQUE
DU = DUCTO
CS = CISTERNA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</si>
  <si>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 (CODIGO OPERADOR REGISTRADO EN INFRAESTRUCTURA)</t>
    </r>
  </si>
  <si>
    <t>GRAVEDAD ESPECIFICA (CIP)</t>
  </si>
  <si>
    <t>CODIGO TANQUE CISTERNA (CIP)</t>
  </si>
  <si>
    <t>CODIGO DE BARRA  AERO B-SISA (CIP)</t>
  </si>
  <si>
    <t>TAMB</t>
  </si>
  <si>
    <t>TIPO ENVASE P/DESPACHO
NOID = NO IDENTIFICADO
TAMB = TAMBOR
TURR = TURRIL
OTRO = OTROS</t>
  </si>
  <si>
    <t>SALIDA X MOVIMIENTO INTERNO</t>
  </si>
  <si>
    <t>PLA645</t>
  </si>
  <si>
    <t>NT056</t>
  </si>
  <si>
    <t>DOC - AUT.ANH</t>
  </si>
  <si>
    <t>AUT7538</t>
  </si>
  <si>
    <t>AUT7684</t>
  </si>
  <si>
    <t>r45</t>
  </si>
  <si>
    <t>r1</t>
  </si>
  <si>
    <t>SR</t>
  </si>
  <si>
    <t>COCHABAMBA</t>
  </si>
  <si>
    <t>01/01/2017 10:30:58</t>
  </si>
  <si>
    <t>Texto</t>
  </si>
  <si>
    <t>Numerico</t>
  </si>
  <si>
    <r>
      <t xml:space="preserve">Numerico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</si>
  <si>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</si>
  <si>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</si>
  <si>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      </t>
    </r>
    <r>
      <rPr>
        <b/>
        <sz val="9"/>
        <color theme="1"/>
        <rFont val="Calibri"/>
        <family val="2"/>
      </rPr>
      <t>Vacio si no aplica</t>
    </r>
  </si>
  <si>
    <t>AUTORIZACION VENTA FUERA DE ALA ANH</t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</si>
  <si>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Doc. De Calidad</t>
    </r>
  </si>
  <si>
    <t xml:space="preserve">CITE CALIDAD </t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</si>
  <si>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 xml:space="preserve">                       Separador decimal "." (Punto)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</si>
  <si>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</si>
  <si>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 xml:space="preserve">C.I. OPERADOR </t>
  </si>
  <si>
    <t>CI RESPOSABLE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</si>
</sst>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5" fillId="0" borderId="0" xfId="0" applyFont="1" applyFill="1" applyAlignment="1"/>
    <xf numFmtId="0" fontId="0" fillId="0" borderId="0" xfId="0" applyFill="1"/>
    <xf numFmtId="49" fontId="5" fillId="0" borderId="0" xfId="0" applyNumberFormat="1" applyFont="1" applyFill="1"/>
    <xf numFmtId="1" fontId="0" fillId="0" borderId="1" xfId="0" applyNumberFormat="1" applyBorder="1" applyAlignment="1">
      <alignment vertical="center" wrapText="1"/>
    </xf>
    <xf numFmtId="1" fontId="0" fillId="0" borderId="0" xfId="0" applyNumberFormat="1"/>
    <xf numFmtId="0" fontId="4" fillId="7" borderId="1" xfId="0" applyFont="1" applyFill="1" applyBorder="1" applyAlignment="1">
      <alignment horizontal="left"/>
    </xf>
    <xf numFmtId="0" fontId="6" fillId="0" borderId="1" xfId="0" applyFont="1" applyFill="1" applyBorder="1"/>
    <xf numFmtId="0" fontId="3" fillId="0" borderId="1" xfId="0" applyFont="1" applyFill="1" applyBorder="1"/>
    <xf numFmtId="1" fontId="1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/>
    <xf numFmtId="1" fontId="7" fillId="0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/>
    <xf numFmtId="0" fontId="4" fillId="8" borderId="1" xfId="0" applyFont="1" applyFill="1" applyBorder="1" applyAlignment="1">
      <alignment horizontal="center"/>
    </xf>
    <xf numFmtId="22" fontId="0" fillId="0" borderId="1" xfId="0" applyNumberFormat="1" applyFill="1" applyBorder="1"/>
    <xf numFmtId="0" fontId="2" fillId="7" borderId="4" xfId="0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5" fillId="7" borderId="5" xfId="0" applyNumberFormat="1" applyFont="1" applyFill="1" applyBorder="1" applyAlignment="1">
      <alignment horizontal="center" vertical="center" wrapText="1"/>
    </xf>
    <xf numFmtId="22" fontId="0" fillId="0" borderId="1" xfId="0" applyNumberFormat="1" applyFont="1" applyFill="1" applyBorder="1"/>
    <xf numFmtId="49" fontId="0" fillId="0" borderId="1" xfId="0" applyNumberFormat="1" applyFill="1" applyBorder="1"/>
    <xf numFmtId="49" fontId="1" fillId="7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/>
    <xf numFmtId="0" fontId="3" fillId="7" borderId="1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"/>
  <sheetViews>
    <sheetView tabSelected="1"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46.7109375" style="1" customWidth="1"/>
    <col min="2" max="2" width="20.7109375" style="1" customWidth="1"/>
    <col min="3" max="3" width="20.28515625" style="1" customWidth="1"/>
    <col min="4" max="4" width="29.5703125" style="1" customWidth="1"/>
    <col min="5" max="5" width="25.140625" style="1" customWidth="1"/>
    <col min="6" max="6" width="27" style="1" customWidth="1"/>
    <col min="7" max="7" width="36.7109375" style="1" customWidth="1"/>
    <col min="8" max="8" width="23.7109375" style="1" customWidth="1"/>
    <col min="9" max="9" width="12.7109375" style="1" customWidth="1"/>
    <col min="10" max="10" width="18.85546875" style="1" customWidth="1"/>
    <col min="11" max="11" width="17.42578125" style="1" customWidth="1"/>
    <col min="12" max="13" width="19.7109375" style="1" customWidth="1"/>
    <col min="14" max="14" width="18.42578125" style="1" customWidth="1"/>
    <col min="15" max="15" width="24.85546875" style="1" customWidth="1"/>
    <col min="16" max="16" width="19.7109375" style="1" customWidth="1"/>
    <col min="17" max="17" width="21" style="1" customWidth="1"/>
    <col min="18" max="18" width="15.28515625" style="1" customWidth="1"/>
    <col min="19" max="19" width="20.5703125" style="1" customWidth="1"/>
    <col min="20" max="20" width="17.85546875" style="1" customWidth="1"/>
    <col min="21" max="21" width="18.140625" style="1" customWidth="1"/>
    <col min="22" max="22" width="20.5703125" style="1" customWidth="1"/>
    <col min="23" max="23" width="15.42578125" style="1" customWidth="1"/>
    <col min="24" max="24" width="20.85546875" style="1" customWidth="1"/>
    <col min="25" max="26" width="21.140625" style="1" customWidth="1"/>
    <col min="27" max="27" width="23.7109375" style="1" customWidth="1"/>
    <col min="28" max="28" width="14.28515625" style="1" customWidth="1"/>
    <col min="29" max="29" width="12.85546875" style="1" customWidth="1"/>
    <col min="30" max="30" width="43" style="1" customWidth="1"/>
    <col min="31" max="32" width="21.85546875" style="1" customWidth="1"/>
    <col min="33" max="33" width="22" style="1" customWidth="1"/>
    <col min="34" max="16384" width="11.42578125" style="1"/>
  </cols>
  <sheetData>
    <row r="1" spans="1:33" x14ac:dyDescent="0.25">
      <c r="A1" s="4"/>
      <c r="B1" s="30">
        <v>0</v>
      </c>
      <c r="C1" s="31">
        <v>1</v>
      </c>
      <c r="D1" s="30">
        <v>2</v>
      </c>
      <c r="E1" s="30">
        <v>3</v>
      </c>
      <c r="F1" s="31">
        <v>4</v>
      </c>
      <c r="G1" s="30">
        <v>5</v>
      </c>
      <c r="H1" s="30">
        <v>6</v>
      </c>
      <c r="I1" s="31">
        <v>7</v>
      </c>
      <c r="J1" s="30">
        <v>8</v>
      </c>
      <c r="K1" s="30">
        <v>9</v>
      </c>
      <c r="L1" s="31">
        <v>10</v>
      </c>
      <c r="M1" s="30">
        <v>11</v>
      </c>
      <c r="N1" s="30">
        <v>12</v>
      </c>
      <c r="O1" s="31">
        <v>13</v>
      </c>
      <c r="P1" s="30">
        <v>14</v>
      </c>
      <c r="Q1" s="30">
        <v>15</v>
      </c>
      <c r="R1" s="31">
        <v>16</v>
      </c>
      <c r="S1" s="30">
        <v>17</v>
      </c>
      <c r="T1" s="30">
        <v>18</v>
      </c>
      <c r="U1" s="31">
        <v>19</v>
      </c>
      <c r="V1" s="30">
        <v>20</v>
      </c>
      <c r="W1" s="30">
        <v>21</v>
      </c>
      <c r="X1" s="31">
        <v>22</v>
      </c>
      <c r="Y1" s="30">
        <v>23</v>
      </c>
      <c r="Z1" s="30">
        <v>24</v>
      </c>
      <c r="AA1" s="31">
        <v>25</v>
      </c>
      <c r="AB1" s="30">
        <v>26</v>
      </c>
      <c r="AC1" s="30">
        <v>27</v>
      </c>
      <c r="AD1" s="31">
        <v>28</v>
      </c>
      <c r="AE1" s="30">
        <v>29</v>
      </c>
      <c r="AF1" s="30">
        <v>30</v>
      </c>
      <c r="AG1" s="30">
        <v>31</v>
      </c>
    </row>
    <row r="2" spans="1:33" s="3" customFormat="1" ht="140.25" customHeight="1" x14ac:dyDescent="0.25">
      <c r="A2" s="14" t="s">
        <v>105</v>
      </c>
      <c r="B2" s="35" t="s">
        <v>46</v>
      </c>
      <c r="C2" s="15" t="s">
        <v>51</v>
      </c>
      <c r="D2" s="15" t="s">
        <v>106</v>
      </c>
      <c r="E2" s="13" t="s">
        <v>107</v>
      </c>
      <c r="F2" s="13" t="s">
        <v>70</v>
      </c>
      <c r="G2" s="13" t="s">
        <v>108</v>
      </c>
      <c r="H2" s="13" t="s">
        <v>109</v>
      </c>
      <c r="I2" s="13" t="s">
        <v>6</v>
      </c>
      <c r="J2" s="13" t="s">
        <v>10</v>
      </c>
      <c r="K2" s="13" t="s">
        <v>110</v>
      </c>
      <c r="L2" s="26" t="s">
        <v>60</v>
      </c>
      <c r="M2" s="26" t="s">
        <v>112</v>
      </c>
      <c r="N2" s="14" t="s">
        <v>111</v>
      </c>
      <c r="O2" s="14" t="s">
        <v>114</v>
      </c>
      <c r="P2" s="13" t="s">
        <v>4</v>
      </c>
      <c r="Q2" s="26" t="s">
        <v>5</v>
      </c>
      <c r="R2" s="26" t="s">
        <v>3</v>
      </c>
      <c r="S2" s="13" t="s">
        <v>8</v>
      </c>
      <c r="T2" s="13" t="s">
        <v>9</v>
      </c>
      <c r="U2" s="26" t="s">
        <v>16</v>
      </c>
      <c r="V2" s="25" t="s">
        <v>17</v>
      </c>
      <c r="W2" s="26" t="s">
        <v>14</v>
      </c>
      <c r="X2" s="26" t="s">
        <v>138</v>
      </c>
      <c r="Y2" s="14" t="s">
        <v>45</v>
      </c>
      <c r="Z2" s="14" t="s">
        <v>132</v>
      </c>
      <c r="AA2" s="13" t="s">
        <v>134</v>
      </c>
      <c r="AB2" s="13" t="s">
        <v>137</v>
      </c>
      <c r="AC2" s="13" t="s">
        <v>67</v>
      </c>
      <c r="AD2" s="13" t="s">
        <v>68</v>
      </c>
      <c r="AE2" s="13" t="s">
        <v>0</v>
      </c>
      <c r="AF2" s="13" t="s">
        <v>1</v>
      </c>
      <c r="AG2" s="13" t="s">
        <v>44</v>
      </c>
    </row>
    <row r="3" spans="1:33" s="21" customFormat="1" ht="53.25" customHeight="1" x14ac:dyDescent="0.25">
      <c r="A3" s="20"/>
      <c r="B3" s="40" t="s">
        <v>126</v>
      </c>
      <c r="C3" s="37" t="s">
        <v>127</v>
      </c>
      <c r="D3" s="36" t="s">
        <v>126</v>
      </c>
      <c r="E3" s="36" t="s">
        <v>126</v>
      </c>
      <c r="F3" s="36" t="s">
        <v>126</v>
      </c>
      <c r="G3" s="36" t="s">
        <v>126</v>
      </c>
      <c r="H3" s="36" t="s">
        <v>126</v>
      </c>
      <c r="I3" s="36" t="s">
        <v>126</v>
      </c>
      <c r="J3" s="37" t="s">
        <v>128</v>
      </c>
      <c r="K3" s="36" t="s">
        <v>129</v>
      </c>
      <c r="L3" s="36" t="s">
        <v>129</v>
      </c>
      <c r="M3" s="36" t="s">
        <v>129</v>
      </c>
      <c r="N3" s="36" t="s">
        <v>129</v>
      </c>
      <c r="O3" s="36" t="s">
        <v>126</v>
      </c>
      <c r="P3" s="37" t="s">
        <v>128</v>
      </c>
      <c r="Q3" s="37" t="s">
        <v>128</v>
      </c>
      <c r="R3" s="36" t="s">
        <v>129</v>
      </c>
      <c r="S3" s="37" t="s">
        <v>128</v>
      </c>
      <c r="T3" s="36" t="s">
        <v>129</v>
      </c>
      <c r="U3" s="36" t="s">
        <v>126</v>
      </c>
      <c r="V3" s="37" t="s">
        <v>130</v>
      </c>
      <c r="W3" s="36" t="s">
        <v>129</v>
      </c>
      <c r="X3" s="37" t="s">
        <v>130</v>
      </c>
      <c r="Y3" s="37" t="s">
        <v>130</v>
      </c>
      <c r="Z3" s="36" t="s">
        <v>131</v>
      </c>
      <c r="AA3" s="36" t="s">
        <v>133</v>
      </c>
      <c r="AB3" s="36" t="s">
        <v>129</v>
      </c>
      <c r="AC3" s="36" t="s">
        <v>126</v>
      </c>
      <c r="AD3" s="36" t="s">
        <v>126</v>
      </c>
      <c r="AE3" s="37" t="s">
        <v>135</v>
      </c>
      <c r="AF3" s="37" t="s">
        <v>136</v>
      </c>
      <c r="AG3" s="37" t="s">
        <v>136</v>
      </c>
    </row>
    <row r="4" spans="1:33" s="2" customFormat="1" x14ac:dyDescent="0.25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8"/>
      <c r="P4" s="45" t="s">
        <v>41</v>
      </c>
      <c r="Q4" s="45"/>
      <c r="R4" s="45"/>
      <c r="S4" s="45"/>
      <c r="T4" s="45"/>
      <c r="U4" s="6" t="s">
        <v>42</v>
      </c>
      <c r="V4" s="46" t="s">
        <v>40</v>
      </c>
      <c r="W4" s="46"/>
      <c r="X4" s="46"/>
      <c r="Y4" s="29" t="s">
        <v>48</v>
      </c>
      <c r="Z4" s="33" t="s">
        <v>118</v>
      </c>
      <c r="AA4" s="7" t="s">
        <v>43</v>
      </c>
      <c r="AB4" s="9"/>
      <c r="AC4" s="10"/>
      <c r="AD4" s="10"/>
      <c r="AE4" s="10"/>
      <c r="AF4" s="10"/>
      <c r="AG4" s="11"/>
    </row>
    <row r="5" spans="1:33" s="2" customFormat="1" x14ac:dyDescent="0.25">
      <c r="A5" s="47" t="s">
        <v>18</v>
      </c>
      <c r="B5" s="41" t="s">
        <v>31</v>
      </c>
      <c r="C5" s="23">
        <v>489</v>
      </c>
      <c r="D5" s="23" t="s">
        <v>52</v>
      </c>
      <c r="E5" s="23" t="s">
        <v>49</v>
      </c>
      <c r="F5" s="23" t="s">
        <v>15</v>
      </c>
      <c r="G5" s="23" t="s">
        <v>15</v>
      </c>
      <c r="H5" s="23" t="s">
        <v>15</v>
      </c>
      <c r="I5" s="23" t="s">
        <v>7</v>
      </c>
      <c r="J5" s="23">
        <v>0</v>
      </c>
      <c r="K5" s="23"/>
      <c r="L5" s="27" t="s">
        <v>57</v>
      </c>
      <c r="M5" s="27">
        <v>68596855</v>
      </c>
      <c r="N5" s="24"/>
      <c r="O5" s="24" t="s">
        <v>15</v>
      </c>
      <c r="P5" s="23">
        <v>9584</v>
      </c>
      <c r="Q5" s="27">
        <v>200100958474</v>
      </c>
      <c r="R5" s="27" t="s">
        <v>21</v>
      </c>
      <c r="S5" s="23">
        <v>845967845</v>
      </c>
      <c r="T5" s="23" t="s">
        <v>23</v>
      </c>
      <c r="U5" s="27" t="s">
        <v>25</v>
      </c>
      <c r="V5" s="28">
        <v>2584798</v>
      </c>
      <c r="W5" s="27" t="s">
        <v>47</v>
      </c>
      <c r="X5" s="27">
        <v>6958474</v>
      </c>
      <c r="Y5" s="24">
        <v>0</v>
      </c>
      <c r="Z5" s="24"/>
      <c r="AA5" s="23"/>
      <c r="AB5" s="16">
        <v>4598231</v>
      </c>
      <c r="AC5" s="23" t="s">
        <v>2</v>
      </c>
      <c r="AD5" s="16" t="s">
        <v>13</v>
      </c>
      <c r="AE5" s="23">
        <v>513</v>
      </c>
      <c r="AF5" s="5">
        <v>6.14</v>
      </c>
      <c r="AG5" s="5">
        <v>3149.82</v>
      </c>
    </row>
    <row r="6" spans="1:33" s="2" customFormat="1" x14ac:dyDescent="0.25">
      <c r="A6" s="47"/>
      <c r="B6" s="41" t="s">
        <v>31</v>
      </c>
      <c r="C6" s="23">
        <v>490</v>
      </c>
      <c r="D6" s="23" t="s">
        <v>52</v>
      </c>
      <c r="E6" s="23" t="s">
        <v>49</v>
      </c>
      <c r="F6" s="23" t="s">
        <v>15</v>
      </c>
      <c r="G6" s="23" t="s">
        <v>15</v>
      </c>
      <c r="H6" s="23" t="s">
        <v>15</v>
      </c>
      <c r="I6" s="23" t="s">
        <v>11</v>
      </c>
      <c r="J6" s="23">
        <v>0</v>
      </c>
      <c r="K6" s="23"/>
      <c r="L6" s="27" t="s">
        <v>58</v>
      </c>
      <c r="M6" s="27"/>
      <c r="N6" s="24"/>
      <c r="O6" s="24" t="s">
        <v>15</v>
      </c>
      <c r="P6" s="23">
        <v>2597</v>
      </c>
      <c r="Q6" s="27">
        <v>200100958474</v>
      </c>
      <c r="R6" s="27" t="s">
        <v>22</v>
      </c>
      <c r="S6" s="23">
        <v>957421558</v>
      </c>
      <c r="T6" s="23" t="s">
        <v>24</v>
      </c>
      <c r="U6" s="27" t="s">
        <v>26</v>
      </c>
      <c r="V6" s="28">
        <v>69584874</v>
      </c>
      <c r="W6" s="27" t="s">
        <v>47</v>
      </c>
      <c r="X6" s="27">
        <v>0</v>
      </c>
      <c r="Y6" s="24">
        <v>0</v>
      </c>
      <c r="Z6" s="24"/>
      <c r="AA6" s="23"/>
      <c r="AB6" s="16">
        <v>4598231</v>
      </c>
      <c r="AC6" s="23" t="s">
        <v>2</v>
      </c>
      <c r="AD6" s="16" t="s">
        <v>12</v>
      </c>
      <c r="AE6" s="23">
        <v>1500</v>
      </c>
      <c r="AF6" s="5">
        <v>8.3000000000000007</v>
      </c>
      <c r="AG6" s="5">
        <v>12450</v>
      </c>
    </row>
    <row r="7" spans="1:33" s="2" customFormat="1" x14ac:dyDescent="0.25">
      <c r="A7" s="47"/>
      <c r="B7" s="41" t="s">
        <v>31</v>
      </c>
      <c r="C7" s="23">
        <v>491</v>
      </c>
      <c r="D7" s="23" t="s">
        <v>52</v>
      </c>
      <c r="E7" s="23" t="s">
        <v>53</v>
      </c>
      <c r="F7" s="23" t="s">
        <v>15</v>
      </c>
      <c r="G7" s="23" t="s">
        <v>55</v>
      </c>
      <c r="H7" s="23" t="s">
        <v>15</v>
      </c>
      <c r="I7" s="23" t="s">
        <v>7</v>
      </c>
      <c r="J7" s="23">
        <v>0</v>
      </c>
      <c r="K7" s="23"/>
      <c r="L7" s="27" t="s">
        <v>56</v>
      </c>
      <c r="M7" s="27"/>
      <c r="N7" s="24" t="s">
        <v>59</v>
      </c>
      <c r="O7" s="24" t="s">
        <v>15</v>
      </c>
      <c r="P7" s="23">
        <v>9658</v>
      </c>
      <c r="Q7" s="27">
        <v>200100958474</v>
      </c>
      <c r="R7" s="27" t="s">
        <v>36</v>
      </c>
      <c r="S7" s="23">
        <v>36521844</v>
      </c>
      <c r="T7" s="23" t="s">
        <v>37</v>
      </c>
      <c r="U7" s="27" t="s">
        <v>38</v>
      </c>
      <c r="V7" s="28">
        <v>0</v>
      </c>
      <c r="W7" s="27"/>
      <c r="X7" s="27">
        <v>0</v>
      </c>
      <c r="Y7" s="24">
        <v>8549658</v>
      </c>
      <c r="Z7" s="24" t="s">
        <v>119</v>
      </c>
      <c r="AA7" s="23"/>
      <c r="AB7" s="16">
        <v>4598231</v>
      </c>
      <c r="AC7" s="23" t="s">
        <v>2</v>
      </c>
      <c r="AD7" s="16" t="s">
        <v>12</v>
      </c>
      <c r="AE7" s="23">
        <v>1000</v>
      </c>
      <c r="AF7" s="5">
        <v>5.15</v>
      </c>
      <c r="AG7" s="5">
        <v>51500</v>
      </c>
    </row>
    <row r="8" spans="1:33" s="2" customFormat="1" x14ac:dyDescent="0.25">
      <c r="A8" s="47"/>
      <c r="B8" s="41" t="s">
        <v>31</v>
      </c>
      <c r="C8" s="23">
        <v>492</v>
      </c>
      <c r="D8" s="23" t="s">
        <v>52</v>
      </c>
      <c r="E8" s="23" t="s">
        <v>49</v>
      </c>
      <c r="F8" s="23" t="s">
        <v>15</v>
      </c>
      <c r="G8" s="23" t="s">
        <v>15</v>
      </c>
      <c r="H8" s="23" t="s">
        <v>15</v>
      </c>
      <c r="I8" s="23" t="s">
        <v>7</v>
      </c>
      <c r="J8" s="23">
        <v>0</v>
      </c>
      <c r="K8" s="23"/>
      <c r="L8" s="27" t="s">
        <v>61</v>
      </c>
      <c r="M8" s="27"/>
      <c r="N8" s="24"/>
      <c r="O8" s="24" t="s">
        <v>113</v>
      </c>
      <c r="P8" s="23">
        <v>120</v>
      </c>
      <c r="Q8" s="27">
        <v>200100958474</v>
      </c>
      <c r="R8" s="27" t="s">
        <v>62</v>
      </c>
      <c r="S8" s="23">
        <v>85488455</v>
      </c>
      <c r="T8" s="23" t="s">
        <v>63</v>
      </c>
      <c r="U8" s="27" t="s">
        <v>64</v>
      </c>
      <c r="V8" s="28">
        <v>0</v>
      </c>
      <c r="W8" s="27"/>
      <c r="X8" s="27">
        <v>0</v>
      </c>
      <c r="Y8" s="24">
        <v>1025987</v>
      </c>
      <c r="Z8" s="24" t="s">
        <v>120</v>
      </c>
      <c r="AA8" s="23"/>
      <c r="AB8" s="16">
        <v>4598231</v>
      </c>
      <c r="AC8" s="23" t="s">
        <v>2</v>
      </c>
      <c r="AD8" s="16" t="s">
        <v>13</v>
      </c>
      <c r="AE8" s="23">
        <v>600</v>
      </c>
      <c r="AF8" s="5">
        <v>6.14</v>
      </c>
      <c r="AG8" s="5">
        <v>3684</v>
      </c>
    </row>
    <row r="9" spans="1:33" s="2" customFormat="1" x14ac:dyDescent="0.25">
      <c r="A9" s="47" t="s">
        <v>115</v>
      </c>
      <c r="B9" s="41" t="s">
        <v>31</v>
      </c>
      <c r="C9" s="23">
        <v>493</v>
      </c>
      <c r="D9" s="23" t="s">
        <v>54</v>
      </c>
      <c r="E9" s="23" t="s">
        <v>34</v>
      </c>
      <c r="F9" s="23" t="s">
        <v>66</v>
      </c>
      <c r="G9" s="23" t="s">
        <v>52</v>
      </c>
      <c r="H9" s="23" t="s">
        <v>49</v>
      </c>
      <c r="I9" s="23" t="s">
        <v>7</v>
      </c>
      <c r="J9" s="23">
        <v>15</v>
      </c>
      <c r="K9" s="23"/>
      <c r="L9" s="27"/>
      <c r="M9" s="27"/>
      <c r="N9" s="24"/>
      <c r="O9" s="24" t="s">
        <v>15</v>
      </c>
      <c r="P9" s="23">
        <v>0</v>
      </c>
      <c r="Q9" s="27">
        <v>0</v>
      </c>
      <c r="R9" s="27"/>
      <c r="S9" s="23">
        <v>0</v>
      </c>
      <c r="T9" s="23"/>
      <c r="U9" s="27" t="s">
        <v>27</v>
      </c>
      <c r="V9" s="28">
        <v>0</v>
      </c>
      <c r="W9" s="27"/>
      <c r="X9" s="27">
        <v>0</v>
      </c>
      <c r="Y9" s="24">
        <v>0</v>
      </c>
      <c r="Z9" s="24"/>
      <c r="AA9" s="23"/>
      <c r="AB9" s="16">
        <v>4598231</v>
      </c>
      <c r="AC9" s="23" t="s">
        <v>2</v>
      </c>
      <c r="AD9" s="16" t="s">
        <v>13</v>
      </c>
      <c r="AE9" s="23">
        <v>600</v>
      </c>
      <c r="AF9" s="5">
        <v>0</v>
      </c>
      <c r="AG9" s="5">
        <v>0</v>
      </c>
    </row>
    <row r="10" spans="1:33" s="2" customFormat="1" x14ac:dyDescent="0.25">
      <c r="A10" s="47"/>
      <c r="B10" s="41" t="s">
        <v>31</v>
      </c>
      <c r="C10" s="23">
        <v>494</v>
      </c>
      <c r="D10" s="23" t="s">
        <v>52</v>
      </c>
      <c r="E10" s="23" t="s">
        <v>49</v>
      </c>
      <c r="F10" s="23" t="s">
        <v>66</v>
      </c>
      <c r="G10" s="23" t="s">
        <v>54</v>
      </c>
      <c r="H10" s="23" t="s">
        <v>34</v>
      </c>
      <c r="I10" s="23" t="s">
        <v>7</v>
      </c>
      <c r="J10" s="23">
        <v>15</v>
      </c>
      <c r="K10" s="23"/>
      <c r="L10" s="27"/>
      <c r="M10" s="27"/>
      <c r="N10" s="24"/>
      <c r="O10" s="24" t="s">
        <v>15</v>
      </c>
      <c r="P10" s="23">
        <v>0</v>
      </c>
      <c r="Q10" s="27">
        <v>0</v>
      </c>
      <c r="R10" s="27"/>
      <c r="S10" s="23">
        <v>0</v>
      </c>
      <c r="T10" s="23"/>
      <c r="U10" s="27" t="s">
        <v>27</v>
      </c>
      <c r="V10" s="28">
        <v>0</v>
      </c>
      <c r="W10" s="27"/>
      <c r="X10" s="27">
        <v>0</v>
      </c>
      <c r="Y10" s="24">
        <v>0</v>
      </c>
      <c r="Z10" s="24"/>
      <c r="AA10" s="23"/>
      <c r="AB10" s="16">
        <v>4598231</v>
      </c>
      <c r="AC10" s="23" t="s">
        <v>2</v>
      </c>
      <c r="AD10" s="16" t="s">
        <v>13</v>
      </c>
      <c r="AE10" s="23">
        <v>600</v>
      </c>
      <c r="AF10" s="5">
        <v>0</v>
      </c>
      <c r="AG10" s="5">
        <v>0</v>
      </c>
    </row>
    <row r="11" spans="1:33" s="2" customFormat="1" x14ac:dyDescent="0.25">
      <c r="A11" s="47"/>
      <c r="B11" s="41" t="s">
        <v>32</v>
      </c>
      <c r="C11" s="23">
        <v>495</v>
      </c>
      <c r="D11" s="23" t="s">
        <v>54</v>
      </c>
      <c r="E11" s="23" t="s">
        <v>34</v>
      </c>
      <c r="F11" s="23" t="s">
        <v>66</v>
      </c>
      <c r="G11" s="23" t="s">
        <v>54</v>
      </c>
      <c r="H11" s="23" t="s">
        <v>50</v>
      </c>
      <c r="I11" s="23" t="s">
        <v>7</v>
      </c>
      <c r="J11" s="23">
        <v>15</v>
      </c>
      <c r="K11" s="23"/>
      <c r="L11" s="27"/>
      <c r="M11" s="27"/>
      <c r="N11" s="24"/>
      <c r="O11" s="24" t="s">
        <v>15</v>
      </c>
      <c r="P11" s="23">
        <v>0</v>
      </c>
      <c r="Q11" s="27">
        <v>0</v>
      </c>
      <c r="R11" s="27"/>
      <c r="S11" s="23">
        <v>0</v>
      </c>
      <c r="T11" s="23"/>
      <c r="U11" s="27" t="s">
        <v>28</v>
      </c>
      <c r="V11" s="28">
        <v>0</v>
      </c>
      <c r="W11" s="27"/>
      <c r="X11" s="27">
        <v>0</v>
      </c>
      <c r="Y11" s="24">
        <v>0</v>
      </c>
      <c r="Z11" s="24"/>
      <c r="AA11" s="23"/>
      <c r="AB11" s="16">
        <v>4598231</v>
      </c>
      <c r="AC11" s="23" t="s">
        <v>2</v>
      </c>
      <c r="AD11" s="16" t="s">
        <v>12</v>
      </c>
      <c r="AE11" s="23">
        <v>400</v>
      </c>
      <c r="AF11" s="5">
        <v>0</v>
      </c>
      <c r="AG11" s="5">
        <v>0</v>
      </c>
    </row>
    <row r="12" spans="1:33" s="2" customFormat="1" x14ac:dyDescent="0.25">
      <c r="A12" s="22" t="s">
        <v>19</v>
      </c>
      <c r="B12" s="41" t="s">
        <v>32</v>
      </c>
      <c r="C12" s="23">
        <v>496</v>
      </c>
      <c r="D12" s="23" t="s">
        <v>54</v>
      </c>
      <c r="E12" s="23" t="s">
        <v>34</v>
      </c>
      <c r="F12" s="23" t="s">
        <v>66</v>
      </c>
      <c r="G12" s="23" t="s">
        <v>15</v>
      </c>
      <c r="H12" s="23" t="s">
        <v>15</v>
      </c>
      <c r="I12" s="23" t="s">
        <v>7</v>
      </c>
      <c r="J12" s="23">
        <v>15</v>
      </c>
      <c r="K12" s="23"/>
      <c r="L12" s="27"/>
      <c r="M12" s="27"/>
      <c r="N12" s="24"/>
      <c r="O12" s="24" t="s">
        <v>15</v>
      </c>
      <c r="P12" s="23">
        <v>0</v>
      </c>
      <c r="Q12" s="27">
        <v>0</v>
      </c>
      <c r="R12" s="27"/>
      <c r="S12" s="23">
        <v>0</v>
      </c>
      <c r="T12" s="23"/>
      <c r="U12" s="27" t="s">
        <v>30</v>
      </c>
      <c r="V12" s="28">
        <v>0</v>
      </c>
      <c r="W12" s="27"/>
      <c r="X12" s="27">
        <v>0</v>
      </c>
      <c r="Y12" s="24">
        <v>0</v>
      </c>
      <c r="Z12" s="24"/>
      <c r="AA12" s="23"/>
      <c r="AB12" s="16">
        <v>4598231</v>
      </c>
      <c r="AC12" s="23" t="s">
        <v>2</v>
      </c>
      <c r="AD12" s="16" t="s">
        <v>12</v>
      </c>
      <c r="AE12" s="23">
        <v>800</v>
      </c>
      <c r="AF12" s="5">
        <v>0</v>
      </c>
      <c r="AG12" s="5">
        <v>0</v>
      </c>
    </row>
    <row r="13" spans="1:33" s="2" customFormat="1" x14ac:dyDescent="0.25">
      <c r="A13" s="22" t="s">
        <v>20</v>
      </c>
      <c r="B13" s="41" t="s">
        <v>32</v>
      </c>
      <c r="C13" s="23">
        <v>497</v>
      </c>
      <c r="D13" s="24" t="s">
        <v>54</v>
      </c>
      <c r="E13" s="23" t="s">
        <v>34</v>
      </c>
      <c r="F13" s="23" t="s">
        <v>69</v>
      </c>
      <c r="G13" s="23" t="s">
        <v>55</v>
      </c>
      <c r="H13" s="23" t="s">
        <v>15</v>
      </c>
      <c r="I13" s="23" t="s">
        <v>7</v>
      </c>
      <c r="J13" s="23">
        <v>15</v>
      </c>
      <c r="K13" s="23"/>
      <c r="L13" s="27"/>
      <c r="M13" s="27"/>
      <c r="N13" s="24" t="s">
        <v>35</v>
      </c>
      <c r="O13" s="24" t="s">
        <v>15</v>
      </c>
      <c r="P13" s="23">
        <v>0</v>
      </c>
      <c r="Q13" s="27">
        <v>0</v>
      </c>
      <c r="R13" s="27"/>
      <c r="S13" s="23">
        <v>0</v>
      </c>
      <c r="T13" s="23"/>
      <c r="U13" s="27" t="s">
        <v>29</v>
      </c>
      <c r="V13" s="28">
        <v>0</v>
      </c>
      <c r="W13" s="27"/>
      <c r="X13" s="27">
        <v>0</v>
      </c>
      <c r="Y13" s="24">
        <v>0</v>
      </c>
      <c r="Z13" s="24"/>
      <c r="AA13" s="23" t="s">
        <v>39</v>
      </c>
      <c r="AB13" s="16">
        <v>4598231</v>
      </c>
      <c r="AC13" s="23" t="s">
        <v>33</v>
      </c>
      <c r="AD13" s="16" t="s">
        <v>12</v>
      </c>
      <c r="AE13" s="23">
        <v>750</v>
      </c>
      <c r="AF13" s="5">
        <v>0</v>
      </c>
      <c r="AG13" s="5">
        <v>0</v>
      </c>
    </row>
    <row r="17" spans="1:4" s="18" customFormat="1" x14ac:dyDescent="0.25">
      <c r="A17" s="17"/>
      <c r="B17" s="17"/>
      <c r="C17" s="17"/>
      <c r="D17" s="17"/>
    </row>
    <row r="18" spans="1:4" s="17" customFormat="1" x14ac:dyDescent="0.25"/>
    <row r="19" spans="1:4" s="17" customFormat="1" x14ac:dyDescent="0.25"/>
    <row r="20" spans="1:4" s="18" customFormat="1" x14ac:dyDescent="0.25">
      <c r="B20" s="19"/>
    </row>
    <row r="23" spans="1:4" x14ac:dyDescent="0.25">
      <c r="B23" s="12"/>
    </row>
  </sheetData>
  <mergeCells count="5">
    <mergeCell ref="B4:N4"/>
    <mergeCell ref="P4:T4"/>
    <mergeCell ref="V4:X4"/>
    <mergeCell ref="A5:A8"/>
    <mergeCell ref="A9:A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/>
  </sheetViews>
  <sheetFormatPr baseColWidth="10" defaultRowHeight="15" x14ac:dyDescent="0.25"/>
  <cols>
    <col min="1" max="1" width="20.140625" customWidth="1"/>
    <col min="2" max="2" width="13.28515625" customWidth="1"/>
    <col min="3" max="3" width="19.7109375" customWidth="1"/>
    <col min="4" max="4" width="16.85546875" customWidth="1"/>
    <col min="5" max="5" width="15.28515625" customWidth="1"/>
    <col min="6" max="6" width="17.5703125" customWidth="1"/>
    <col min="7" max="7" width="17.140625" customWidth="1"/>
    <col min="9" max="9" width="17.7109375" customWidth="1"/>
    <col min="11" max="11" width="20.140625" customWidth="1"/>
    <col min="13" max="13" width="15" customWidth="1"/>
    <col min="15" max="15" width="15.28515625" customWidth="1"/>
    <col min="16" max="16" width="18.5703125" customWidth="1"/>
    <col min="17" max="17" width="14.42578125" customWidth="1"/>
    <col min="18" max="18" width="13.85546875" customWidth="1"/>
    <col min="19" max="19" width="29" customWidth="1"/>
    <col min="20" max="20" width="18" customWidth="1"/>
    <col min="21" max="21" width="14.7109375" customWidth="1"/>
    <col min="22" max="22" width="14.85546875" customWidth="1"/>
    <col min="23" max="23" width="17.140625" customWidth="1"/>
    <col min="24" max="24" width="19" customWidth="1"/>
    <col min="25" max="25" width="19" style="1" customWidth="1"/>
    <col min="26" max="26" width="18.140625" customWidth="1"/>
    <col min="28" max="28" width="15.5703125" customWidth="1"/>
    <col min="29" max="29" width="15" customWidth="1"/>
    <col min="30" max="30" width="11.85546875" bestFit="1" customWidth="1"/>
  </cols>
  <sheetData>
    <row r="1" spans="1:32" s="1" customFormat="1" x14ac:dyDescent="0.25">
      <c r="A1" s="38">
        <v>42736.385925925926</v>
      </c>
      <c r="B1" s="23">
        <v>5334</v>
      </c>
      <c r="C1" s="23" t="s">
        <v>52</v>
      </c>
      <c r="D1" s="23" t="s">
        <v>121</v>
      </c>
      <c r="E1" s="23" t="s">
        <v>15</v>
      </c>
      <c r="F1" s="23" t="s">
        <v>15</v>
      </c>
      <c r="G1" s="23" t="s">
        <v>15</v>
      </c>
      <c r="H1" s="23" t="s">
        <v>7</v>
      </c>
      <c r="I1" s="23">
        <v>0</v>
      </c>
      <c r="J1" s="23">
        <v>0</v>
      </c>
      <c r="K1" s="27" t="s">
        <v>57</v>
      </c>
      <c r="L1" s="27"/>
      <c r="M1" s="24"/>
      <c r="N1" s="24" t="s">
        <v>15</v>
      </c>
      <c r="O1" s="23">
        <v>9584</v>
      </c>
      <c r="P1" s="27">
        <v>2001009566474</v>
      </c>
      <c r="Q1" s="27" t="s">
        <v>21</v>
      </c>
      <c r="R1" s="23">
        <v>845967845</v>
      </c>
      <c r="S1" s="23" t="s">
        <v>23</v>
      </c>
      <c r="T1" s="27" t="s">
        <v>82</v>
      </c>
      <c r="U1" s="28">
        <v>2584798</v>
      </c>
      <c r="V1" s="27" t="s">
        <v>47</v>
      </c>
      <c r="W1" s="27">
        <v>6958474</v>
      </c>
      <c r="X1" s="24">
        <v>0</v>
      </c>
      <c r="Y1" s="24"/>
      <c r="Z1" s="23"/>
      <c r="AA1" s="16">
        <v>4598231</v>
      </c>
      <c r="AB1" s="23" t="s">
        <v>2</v>
      </c>
      <c r="AC1" s="16" t="s">
        <v>12</v>
      </c>
      <c r="AD1" s="23">
        <v>2000</v>
      </c>
      <c r="AE1" s="23">
        <v>6.14</v>
      </c>
      <c r="AF1" s="23">
        <f>AD1*AE1</f>
        <v>12280</v>
      </c>
    </row>
    <row r="2" spans="1:32" s="1" customFormat="1" x14ac:dyDescent="0.25">
      <c r="A2" s="38">
        <v>42737.385925925926</v>
      </c>
      <c r="B2" s="23">
        <v>5335</v>
      </c>
      <c r="C2" s="23" t="s">
        <v>52</v>
      </c>
      <c r="D2" s="23" t="s">
        <v>121</v>
      </c>
      <c r="E2" s="23" t="s">
        <v>15</v>
      </c>
      <c r="F2" s="23" t="s">
        <v>15</v>
      </c>
      <c r="G2" s="23" t="s">
        <v>15</v>
      </c>
      <c r="H2" s="23" t="s">
        <v>7</v>
      </c>
      <c r="I2" s="23">
        <v>0</v>
      </c>
      <c r="J2" s="23">
        <v>0</v>
      </c>
      <c r="K2" s="27" t="s">
        <v>74</v>
      </c>
      <c r="L2" s="27"/>
      <c r="M2" s="24"/>
      <c r="N2" s="24" t="s">
        <v>15</v>
      </c>
      <c r="O2" s="23">
        <v>9585</v>
      </c>
      <c r="P2" s="27">
        <v>2001009566474</v>
      </c>
      <c r="Q2" s="27" t="s">
        <v>21</v>
      </c>
      <c r="R2" s="23">
        <v>845967845</v>
      </c>
      <c r="S2" s="23" t="s">
        <v>23</v>
      </c>
      <c r="T2" s="27" t="s">
        <v>83</v>
      </c>
      <c r="U2" s="28">
        <v>2584798</v>
      </c>
      <c r="V2" s="27" t="s">
        <v>47</v>
      </c>
      <c r="W2" s="27">
        <v>5645</v>
      </c>
      <c r="X2" s="24">
        <v>0</v>
      </c>
      <c r="Y2" s="24"/>
      <c r="Z2" s="23"/>
      <c r="AA2" s="16">
        <v>4598231</v>
      </c>
      <c r="AB2" s="23" t="s">
        <v>2</v>
      </c>
      <c r="AC2" s="16" t="s">
        <v>12</v>
      </c>
      <c r="AD2" s="23">
        <v>3000</v>
      </c>
      <c r="AE2" s="23">
        <v>6.14</v>
      </c>
      <c r="AF2" s="23">
        <f t="shared" ref="AF2:AF22" si="0">AD2*AE2</f>
        <v>18420</v>
      </c>
    </row>
    <row r="3" spans="1:32" s="1" customFormat="1" x14ac:dyDescent="0.25">
      <c r="A3" s="38">
        <v>42738.385925925926</v>
      </c>
      <c r="B3" s="23">
        <v>5336</v>
      </c>
      <c r="C3" s="23" t="s">
        <v>52</v>
      </c>
      <c r="D3" s="23" t="s">
        <v>121</v>
      </c>
      <c r="E3" s="23" t="s">
        <v>15</v>
      </c>
      <c r="F3" s="23" t="s">
        <v>15</v>
      </c>
      <c r="G3" s="23" t="s">
        <v>15</v>
      </c>
      <c r="H3" s="23" t="s">
        <v>7</v>
      </c>
      <c r="I3" s="23">
        <v>0</v>
      </c>
      <c r="J3" s="23">
        <v>0</v>
      </c>
      <c r="K3" s="27" t="s">
        <v>75</v>
      </c>
      <c r="L3" s="27"/>
      <c r="M3" s="24"/>
      <c r="N3" s="24" t="s">
        <v>15</v>
      </c>
      <c r="O3" s="23">
        <v>9586</v>
      </c>
      <c r="P3" s="27">
        <v>2001009566474</v>
      </c>
      <c r="Q3" s="27" t="s">
        <v>21</v>
      </c>
      <c r="R3" s="23">
        <v>845967845</v>
      </c>
      <c r="S3" s="23" t="s">
        <v>23</v>
      </c>
      <c r="T3" s="27" t="s">
        <v>84</v>
      </c>
      <c r="U3" s="28">
        <v>2584798</v>
      </c>
      <c r="V3" s="27" t="s">
        <v>47</v>
      </c>
      <c r="W3" s="27">
        <v>343</v>
      </c>
      <c r="X3" s="24">
        <v>0</v>
      </c>
      <c r="Y3" s="24"/>
      <c r="Z3" s="23"/>
      <c r="AA3" s="16">
        <v>4598231</v>
      </c>
      <c r="AB3" s="23" t="s">
        <v>2</v>
      </c>
      <c r="AC3" s="16" t="s">
        <v>12</v>
      </c>
      <c r="AD3" s="23">
        <v>2000</v>
      </c>
      <c r="AE3" s="23">
        <v>6.14</v>
      </c>
      <c r="AF3" s="23">
        <f t="shared" si="0"/>
        <v>12280</v>
      </c>
    </row>
    <row r="4" spans="1:32" s="1" customFormat="1" x14ac:dyDescent="0.25">
      <c r="A4" s="38">
        <v>42740.385925925926</v>
      </c>
      <c r="B4" s="23">
        <v>5337</v>
      </c>
      <c r="C4" s="23" t="s">
        <v>52</v>
      </c>
      <c r="D4" s="23" t="s">
        <v>121</v>
      </c>
      <c r="E4" s="23" t="s">
        <v>15</v>
      </c>
      <c r="F4" s="23" t="s">
        <v>15</v>
      </c>
      <c r="G4" s="23" t="s">
        <v>15</v>
      </c>
      <c r="H4" s="23" t="s">
        <v>7</v>
      </c>
      <c r="I4" s="23">
        <v>0</v>
      </c>
      <c r="J4" s="23">
        <v>0</v>
      </c>
      <c r="K4" s="27" t="s">
        <v>76</v>
      </c>
      <c r="L4" s="27"/>
      <c r="M4" s="24"/>
      <c r="N4" s="24" t="s">
        <v>15</v>
      </c>
      <c r="O4" s="23">
        <v>9587</v>
      </c>
      <c r="P4" s="27">
        <v>2001009566474</v>
      </c>
      <c r="Q4" s="27" t="s">
        <v>21</v>
      </c>
      <c r="R4" s="23">
        <v>845967845</v>
      </c>
      <c r="S4" s="23" t="s">
        <v>23</v>
      </c>
      <c r="T4" s="27" t="s">
        <v>85</v>
      </c>
      <c r="U4" s="28">
        <v>2584798</v>
      </c>
      <c r="V4" s="27" t="s">
        <v>47</v>
      </c>
      <c r="W4" s="27">
        <v>354564</v>
      </c>
      <c r="X4" s="24">
        <v>0</v>
      </c>
      <c r="Y4" s="24"/>
      <c r="Z4" s="23"/>
      <c r="AA4" s="16">
        <v>4598231</v>
      </c>
      <c r="AB4" s="23" t="s">
        <v>2</v>
      </c>
      <c r="AC4" s="16" t="s">
        <v>12</v>
      </c>
      <c r="AD4" s="23">
        <v>8000</v>
      </c>
      <c r="AE4" s="23">
        <v>6.14</v>
      </c>
      <c r="AF4" s="23">
        <f t="shared" si="0"/>
        <v>49120</v>
      </c>
    </row>
    <row r="5" spans="1:32" s="1" customFormat="1" x14ac:dyDescent="0.25">
      <c r="A5" s="38">
        <v>42742.385925925926</v>
      </c>
      <c r="B5" s="23">
        <v>5338</v>
      </c>
      <c r="C5" s="23" t="s">
        <v>52</v>
      </c>
      <c r="D5" s="23" t="s">
        <v>121</v>
      </c>
      <c r="E5" s="23" t="s">
        <v>15</v>
      </c>
      <c r="F5" s="23" t="s">
        <v>15</v>
      </c>
      <c r="G5" s="23" t="s">
        <v>15</v>
      </c>
      <c r="H5" s="23" t="s">
        <v>7</v>
      </c>
      <c r="I5" s="23">
        <v>0</v>
      </c>
      <c r="J5" s="23">
        <v>0</v>
      </c>
      <c r="K5" s="27" t="s">
        <v>77</v>
      </c>
      <c r="L5" s="27"/>
      <c r="M5" s="24"/>
      <c r="N5" s="24" t="s">
        <v>15</v>
      </c>
      <c r="O5" s="23">
        <v>9588</v>
      </c>
      <c r="P5" s="27">
        <v>2001009566474</v>
      </c>
      <c r="Q5" s="27" t="s">
        <v>21</v>
      </c>
      <c r="R5" s="23">
        <v>845967845</v>
      </c>
      <c r="S5" s="23" t="s">
        <v>23</v>
      </c>
      <c r="T5" s="27" t="s">
        <v>86</v>
      </c>
      <c r="U5" s="28">
        <v>2584798</v>
      </c>
      <c r="V5" s="27" t="s">
        <v>47</v>
      </c>
      <c r="W5" s="27">
        <v>46</v>
      </c>
      <c r="X5" s="24">
        <v>0</v>
      </c>
      <c r="Y5" s="24"/>
      <c r="Z5" s="23"/>
      <c r="AA5" s="16">
        <v>4598231</v>
      </c>
      <c r="AB5" s="23" t="s">
        <v>2</v>
      </c>
      <c r="AC5" s="16" t="s">
        <v>12</v>
      </c>
      <c r="AD5" s="23">
        <v>1000</v>
      </c>
      <c r="AE5" s="23">
        <v>6.14</v>
      </c>
      <c r="AF5" s="23">
        <f t="shared" si="0"/>
        <v>6140</v>
      </c>
    </row>
    <row r="6" spans="1:32" s="1" customFormat="1" x14ac:dyDescent="0.25">
      <c r="A6" s="38">
        <v>42744.385925925926</v>
      </c>
      <c r="B6" s="23">
        <v>5339</v>
      </c>
      <c r="C6" s="23" t="s">
        <v>52</v>
      </c>
      <c r="D6" s="23" t="s">
        <v>121</v>
      </c>
      <c r="E6" s="23" t="s">
        <v>15</v>
      </c>
      <c r="F6" s="23" t="s">
        <v>15</v>
      </c>
      <c r="G6" s="23" t="s">
        <v>15</v>
      </c>
      <c r="H6" s="23" t="s">
        <v>7</v>
      </c>
      <c r="I6" s="23">
        <v>0</v>
      </c>
      <c r="J6" s="23">
        <v>0</v>
      </c>
      <c r="K6" s="27" t="s">
        <v>78</v>
      </c>
      <c r="L6" s="27"/>
      <c r="M6" s="24"/>
      <c r="N6" s="24" t="s">
        <v>15</v>
      </c>
      <c r="O6" s="23">
        <v>9589</v>
      </c>
      <c r="P6" s="27">
        <v>2001009566474</v>
      </c>
      <c r="Q6" s="27" t="s">
        <v>21</v>
      </c>
      <c r="R6" s="23">
        <v>845967845</v>
      </c>
      <c r="S6" s="23" t="s">
        <v>23</v>
      </c>
      <c r="T6" s="27" t="s">
        <v>87</v>
      </c>
      <c r="U6" s="28">
        <v>2584798</v>
      </c>
      <c r="V6" s="27" t="s">
        <v>47</v>
      </c>
      <c r="W6" s="27">
        <v>53434</v>
      </c>
      <c r="X6" s="24">
        <v>0</v>
      </c>
      <c r="Y6" s="24"/>
      <c r="Z6" s="23"/>
      <c r="AA6" s="16">
        <v>4598231</v>
      </c>
      <c r="AB6" s="23" t="s">
        <v>2</v>
      </c>
      <c r="AC6" s="16" t="s">
        <v>12</v>
      </c>
      <c r="AD6" s="23">
        <v>1000</v>
      </c>
      <c r="AE6" s="23">
        <v>6.14</v>
      </c>
      <c r="AF6" s="23">
        <f t="shared" si="0"/>
        <v>6140</v>
      </c>
    </row>
    <row r="7" spans="1:32" s="1" customFormat="1" x14ac:dyDescent="0.25">
      <c r="A7" s="38">
        <v>42745.385925925926</v>
      </c>
      <c r="B7" s="23">
        <v>5340</v>
      </c>
      <c r="C7" s="23" t="s">
        <v>52</v>
      </c>
      <c r="D7" s="23" t="s">
        <v>121</v>
      </c>
      <c r="E7" s="23" t="s">
        <v>15</v>
      </c>
      <c r="F7" s="23" t="s">
        <v>15</v>
      </c>
      <c r="G7" s="23" t="s">
        <v>15</v>
      </c>
      <c r="H7" s="23" t="s">
        <v>7</v>
      </c>
      <c r="I7" s="23">
        <v>0</v>
      </c>
      <c r="J7" s="23">
        <v>0</v>
      </c>
      <c r="K7" s="27" t="s">
        <v>79</v>
      </c>
      <c r="L7" s="27"/>
      <c r="M7" s="24"/>
      <c r="N7" s="24" t="s">
        <v>15</v>
      </c>
      <c r="O7" s="23">
        <v>9590</v>
      </c>
      <c r="P7" s="27">
        <v>2001009566474</v>
      </c>
      <c r="Q7" s="27" t="s">
        <v>21</v>
      </c>
      <c r="R7" s="23">
        <v>845967845</v>
      </c>
      <c r="S7" s="23" t="s">
        <v>23</v>
      </c>
      <c r="T7" s="27" t="s">
        <v>88</v>
      </c>
      <c r="U7" s="28">
        <v>2584798</v>
      </c>
      <c r="V7" s="27" t="s">
        <v>47</v>
      </c>
      <c r="W7" s="27">
        <v>457</v>
      </c>
      <c r="X7" s="24">
        <v>0</v>
      </c>
      <c r="Y7" s="24"/>
      <c r="Z7" s="23"/>
      <c r="AA7" s="16">
        <v>4598231</v>
      </c>
      <c r="AB7" s="23" t="s">
        <v>2</v>
      </c>
      <c r="AC7" s="16" t="s">
        <v>12</v>
      </c>
      <c r="AD7" s="23">
        <v>3000</v>
      </c>
      <c r="AE7" s="23">
        <v>6.14</v>
      </c>
      <c r="AF7" s="23">
        <f t="shared" si="0"/>
        <v>18420</v>
      </c>
    </row>
    <row r="8" spans="1:32" x14ac:dyDescent="0.25">
      <c r="A8" s="38">
        <v>42747.385925925926</v>
      </c>
      <c r="B8" s="23">
        <v>5341</v>
      </c>
      <c r="C8" s="23" t="s">
        <v>52</v>
      </c>
      <c r="D8" s="23" t="s">
        <v>121</v>
      </c>
      <c r="E8" s="23" t="s">
        <v>15</v>
      </c>
      <c r="F8" s="23" t="s">
        <v>15</v>
      </c>
      <c r="G8" s="23" t="s">
        <v>15</v>
      </c>
      <c r="H8" s="23" t="s">
        <v>7</v>
      </c>
      <c r="I8" s="23">
        <v>0</v>
      </c>
      <c r="J8" s="23">
        <v>0</v>
      </c>
      <c r="K8" s="27" t="s">
        <v>80</v>
      </c>
      <c r="L8" s="27"/>
      <c r="M8" s="24"/>
      <c r="N8" s="24" t="s">
        <v>15</v>
      </c>
      <c r="O8" s="23">
        <v>9591</v>
      </c>
      <c r="P8" s="27">
        <v>2001009566474</v>
      </c>
      <c r="Q8" s="27" t="s">
        <v>21</v>
      </c>
      <c r="R8" s="23">
        <v>845967845</v>
      </c>
      <c r="S8" s="23" t="s">
        <v>23</v>
      </c>
      <c r="T8" s="27" t="s">
        <v>89</v>
      </c>
      <c r="U8" s="28">
        <v>2584798</v>
      </c>
      <c r="V8" s="27" t="s">
        <v>47</v>
      </c>
      <c r="W8" s="27">
        <v>576</v>
      </c>
      <c r="X8" s="24">
        <v>0</v>
      </c>
      <c r="Y8" s="24"/>
      <c r="Z8" s="23"/>
      <c r="AA8" s="16">
        <v>4598231</v>
      </c>
      <c r="AB8" s="23" t="s">
        <v>2</v>
      </c>
      <c r="AC8" s="16" t="s">
        <v>12</v>
      </c>
      <c r="AD8" s="23">
        <v>1000</v>
      </c>
      <c r="AE8" s="23">
        <v>6.14</v>
      </c>
      <c r="AF8" s="23">
        <f t="shared" si="0"/>
        <v>6140</v>
      </c>
    </row>
    <row r="9" spans="1:32" s="1" customFormat="1" x14ac:dyDescent="0.25">
      <c r="A9" s="38">
        <v>42749.385925925926</v>
      </c>
      <c r="B9" s="23">
        <v>5342</v>
      </c>
      <c r="C9" s="23" t="s">
        <v>52</v>
      </c>
      <c r="D9" s="23" t="s">
        <v>121</v>
      </c>
      <c r="E9" s="23" t="s">
        <v>15</v>
      </c>
      <c r="F9" s="23" t="s">
        <v>15</v>
      </c>
      <c r="G9" s="23" t="s">
        <v>15</v>
      </c>
      <c r="H9" s="23" t="s">
        <v>7</v>
      </c>
      <c r="I9" s="23">
        <v>0</v>
      </c>
      <c r="J9" s="23">
        <v>0</v>
      </c>
      <c r="K9" s="27" t="s">
        <v>81</v>
      </c>
      <c r="L9" s="27"/>
      <c r="M9" s="24"/>
      <c r="N9" s="24" t="s">
        <v>15</v>
      </c>
      <c r="O9" s="23">
        <v>9592</v>
      </c>
      <c r="P9" s="27">
        <v>2001009566474</v>
      </c>
      <c r="Q9" s="27" t="s">
        <v>21</v>
      </c>
      <c r="R9" s="23">
        <v>845967845</v>
      </c>
      <c r="S9" s="23" t="s">
        <v>23</v>
      </c>
      <c r="T9" s="27" t="s">
        <v>90</v>
      </c>
      <c r="U9" s="28">
        <v>2584798</v>
      </c>
      <c r="V9" s="27" t="s">
        <v>47</v>
      </c>
      <c r="W9" s="27">
        <v>76</v>
      </c>
      <c r="X9" s="24">
        <v>0</v>
      </c>
      <c r="Y9" s="24"/>
      <c r="Z9" s="23"/>
      <c r="AA9" s="16">
        <v>4598231</v>
      </c>
      <c r="AB9" s="23" t="s">
        <v>2</v>
      </c>
      <c r="AC9" s="16" t="s">
        <v>12</v>
      </c>
      <c r="AD9" s="23">
        <v>8000</v>
      </c>
      <c r="AE9" s="23">
        <v>6.14</v>
      </c>
      <c r="AF9" s="23">
        <f t="shared" si="0"/>
        <v>49120</v>
      </c>
    </row>
    <row r="10" spans="1:32" s="1" customFormat="1" x14ac:dyDescent="0.25">
      <c r="A10" s="38">
        <v>42751.385925925926</v>
      </c>
      <c r="B10" s="23">
        <v>5343</v>
      </c>
      <c r="C10" s="23" t="s">
        <v>52</v>
      </c>
      <c r="D10" s="23" t="s">
        <v>121</v>
      </c>
      <c r="E10" s="23" t="s">
        <v>15</v>
      </c>
      <c r="F10" s="23" t="s">
        <v>55</v>
      </c>
      <c r="G10" s="23" t="s">
        <v>15</v>
      </c>
      <c r="H10" s="23" t="s">
        <v>7</v>
      </c>
      <c r="I10" s="23">
        <v>0</v>
      </c>
      <c r="J10" s="23">
        <v>0</v>
      </c>
      <c r="K10" s="27" t="s">
        <v>56</v>
      </c>
      <c r="L10" s="27"/>
      <c r="M10" s="24" t="s">
        <v>59</v>
      </c>
      <c r="N10" s="24" t="s">
        <v>15</v>
      </c>
      <c r="O10" s="23">
        <v>9593</v>
      </c>
      <c r="P10" s="27">
        <v>2001009566474</v>
      </c>
      <c r="Q10" s="27" t="s">
        <v>36</v>
      </c>
      <c r="R10" s="23">
        <v>36521844</v>
      </c>
      <c r="S10" s="23" t="s">
        <v>37</v>
      </c>
      <c r="T10" s="27" t="s">
        <v>91</v>
      </c>
      <c r="U10" s="28">
        <v>0</v>
      </c>
      <c r="V10" s="27"/>
      <c r="W10" s="27">
        <v>0</v>
      </c>
      <c r="X10" s="24">
        <v>8549658</v>
      </c>
      <c r="Y10" s="24">
        <v>9658</v>
      </c>
      <c r="Z10" s="23"/>
      <c r="AA10" s="16">
        <v>4598231</v>
      </c>
      <c r="AB10" s="23" t="s">
        <v>2</v>
      </c>
      <c r="AC10" s="16" t="s">
        <v>12</v>
      </c>
      <c r="AD10" s="23">
        <v>1000</v>
      </c>
      <c r="AE10" s="23">
        <v>6.14</v>
      </c>
      <c r="AF10" s="23">
        <f t="shared" si="0"/>
        <v>6140</v>
      </c>
    </row>
    <row r="11" spans="1:32" s="1" customFormat="1" x14ac:dyDescent="0.25">
      <c r="A11" s="38">
        <v>42753.385925925926</v>
      </c>
      <c r="B11" s="23">
        <v>5344</v>
      </c>
      <c r="C11" s="23" t="s">
        <v>52</v>
      </c>
      <c r="D11" s="23" t="s">
        <v>121</v>
      </c>
      <c r="E11" s="23" t="s">
        <v>15</v>
      </c>
      <c r="F11" s="23" t="s">
        <v>55</v>
      </c>
      <c r="G11" s="23" t="s">
        <v>15</v>
      </c>
      <c r="H11" s="23" t="s">
        <v>7</v>
      </c>
      <c r="I11" s="23">
        <v>0</v>
      </c>
      <c r="J11" s="23">
        <v>0</v>
      </c>
      <c r="K11" s="27" t="s">
        <v>56</v>
      </c>
      <c r="L11" s="27"/>
      <c r="M11" s="24" t="s">
        <v>59</v>
      </c>
      <c r="N11" s="24" t="s">
        <v>15</v>
      </c>
      <c r="O11" s="23">
        <v>9594</v>
      </c>
      <c r="P11" s="27">
        <v>2001009566474</v>
      </c>
      <c r="Q11" s="27" t="s">
        <v>36</v>
      </c>
      <c r="R11" s="23">
        <v>36521844</v>
      </c>
      <c r="S11" s="23" t="s">
        <v>37</v>
      </c>
      <c r="T11" s="27" t="s">
        <v>92</v>
      </c>
      <c r="U11" s="28">
        <v>0</v>
      </c>
      <c r="V11" s="27"/>
      <c r="W11" s="27">
        <v>0</v>
      </c>
      <c r="X11" s="24">
        <v>8549658</v>
      </c>
      <c r="Y11" s="24">
        <v>9659</v>
      </c>
      <c r="Z11" s="23"/>
      <c r="AA11" s="16">
        <v>4598231</v>
      </c>
      <c r="AB11" s="23" t="s">
        <v>2</v>
      </c>
      <c r="AC11" s="16" t="s">
        <v>12</v>
      </c>
      <c r="AD11" s="23">
        <v>3000</v>
      </c>
      <c r="AE11" s="23">
        <v>6.14</v>
      </c>
      <c r="AF11" s="23">
        <f t="shared" si="0"/>
        <v>18420</v>
      </c>
    </row>
    <row r="12" spans="1:32" s="1" customFormat="1" x14ac:dyDescent="0.25">
      <c r="A12" s="38">
        <v>42756.385925925926</v>
      </c>
      <c r="B12" s="23">
        <v>5345</v>
      </c>
      <c r="C12" s="23" t="s">
        <v>52</v>
      </c>
      <c r="D12" s="23" t="s">
        <v>121</v>
      </c>
      <c r="E12" s="23" t="s">
        <v>15</v>
      </c>
      <c r="F12" s="23" t="s">
        <v>55</v>
      </c>
      <c r="G12" s="23" t="s">
        <v>15</v>
      </c>
      <c r="H12" s="23" t="s">
        <v>7</v>
      </c>
      <c r="I12" s="23">
        <v>0</v>
      </c>
      <c r="J12" s="23">
        <v>0</v>
      </c>
      <c r="K12" s="27" t="s">
        <v>56</v>
      </c>
      <c r="L12" s="27"/>
      <c r="M12" s="24" t="s">
        <v>59</v>
      </c>
      <c r="N12" s="24" t="s">
        <v>15</v>
      </c>
      <c r="O12" s="23">
        <v>9595</v>
      </c>
      <c r="P12" s="27">
        <v>2001009566474</v>
      </c>
      <c r="Q12" s="27" t="s">
        <v>36</v>
      </c>
      <c r="R12" s="23">
        <v>36521844</v>
      </c>
      <c r="S12" s="23" t="s">
        <v>37</v>
      </c>
      <c r="T12" s="27" t="s">
        <v>93</v>
      </c>
      <c r="U12" s="28">
        <v>0</v>
      </c>
      <c r="V12" s="27"/>
      <c r="W12" s="27">
        <v>0</v>
      </c>
      <c r="X12" s="24">
        <v>8549658</v>
      </c>
      <c r="Y12" s="24">
        <v>9660</v>
      </c>
      <c r="Z12" s="23"/>
      <c r="AA12" s="16">
        <v>4598231</v>
      </c>
      <c r="AB12" s="23" t="s">
        <v>2</v>
      </c>
      <c r="AC12" s="16" t="s">
        <v>12</v>
      </c>
      <c r="AD12" s="23">
        <v>5000</v>
      </c>
      <c r="AE12" s="23">
        <v>6.14</v>
      </c>
      <c r="AF12" s="23">
        <f t="shared" si="0"/>
        <v>30700</v>
      </c>
    </row>
    <row r="13" spans="1:32" s="1" customFormat="1" x14ac:dyDescent="0.25">
      <c r="A13" s="38">
        <v>42757.385925925926</v>
      </c>
      <c r="B13" s="23">
        <v>5346</v>
      </c>
      <c r="C13" s="23" t="s">
        <v>52</v>
      </c>
      <c r="D13" s="23" t="s">
        <v>121</v>
      </c>
      <c r="E13" s="23" t="s">
        <v>15</v>
      </c>
      <c r="F13" s="23" t="s">
        <v>55</v>
      </c>
      <c r="G13" s="23" t="s">
        <v>15</v>
      </c>
      <c r="H13" s="23" t="s">
        <v>7</v>
      </c>
      <c r="I13" s="23">
        <v>0</v>
      </c>
      <c r="J13" s="23">
        <v>0</v>
      </c>
      <c r="K13" s="27" t="s">
        <v>56</v>
      </c>
      <c r="L13" s="27"/>
      <c r="M13" s="24" t="s">
        <v>59</v>
      </c>
      <c r="N13" s="24" t="s">
        <v>15</v>
      </c>
      <c r="O13" s="23">
        <v>9596</v>
      </c>
      <c r="P13" s="27">
        <v>2001009566474</v>
      </c>
      <c r="Q13" s="27" t="s">
        <v>36</v>
      </c>
      <c r="R13" s="23">
        <v>36521844</v>
      </c>
      <c r="S13" s="23" t="s">
        <v>37</v>
      </c>
      <c r="T13" s="27" t="s">
        <v>94</v>
      </c>
      <c r="U13" s="28">
        <v>0</v>
      </c>
      <c r="V13" s="27"/>
      <c r="W13" s="27">
        <v>0</v>
      </c>
      <c r="X13" s="24">
        <v>8549658</v>
      </c>
      <c r="Y13" s="24">
        <v>9661</v>
      </c>
      <c r="Z13" s="23"/>
      <c r="AA13" s="16">
        <v>4598231</v>
      </c>
      <c r="AB13" s="23" t="s">
        <v>2</v>
      </c>
      <c r="AC13" s="16" t="s">
        <v>12</v>
      </c>
      <c r="AD13" s="23">
        <v>4000</v>
      </c>
      <c r="AE13" s="23">
        <v>6.14</v>
      </c>
      <c r="AF13" s="23">
        <f t="shared" si="0"/>
        <v>24560</v>
      </c>
    </row>
    <row r="14" spans="1:32" s="1" customFormat="1" x14ac:dyDescent="0.25">
      <c r="A14" s="38">
        <v>42758.385925925926</v>
      </c>
      <c r="B14" s="23">
        <v>5347</v>
      </c>
      <c r="C14" s="23" t="s">
        <v>52</v>
      </c>
      <c r="D14" s="23" t="s">
        <v>121</v>
      </c>
      <c r="E14" s="23" t="s">
        <v>15</v>
      </c>
      <c r="F14" s="23" t="s">
        <v>15</v>
      </c>
      <c r="G14" s="23" t="s">
        <v>15</v>
      </c>
      <c r="H14" s="23" t="s">
        <v>7</v>
      </c>
      <c r="I14" s="23">
        <v>0</v>
      </c>
      <c r="J14" s="23">
        <v>0</v>
      </c>
      <c r="K14" s="27" t="s">
        <v>61</v>
      </c>
      <c r="L14" s="27"/>
      <c r="M14" s="24"/>
      <c r="N14" s="24" t="s">
        <v>65</v>
      </c>
      <c r="O14" s="23">
        <v>9597</v>
      </c>
      <c r="P14" s="27">
        <v>2001009566474</v>
      </c>
      <c r="Q14" s="27" t="s">
        <v>62</v>
      </c>
      <c r="R14" s="23">
        <v>85488455</v>
      </c>
      <c r="S14" s="23" t="s">
        <v>63</v>
      </c>
      <c r="T14" s="27" t="s">
        <v>95</v>
      </c>
      <c r="U14" s="28">
        <v>0</v>
      </c>
      <c r="V14" s="27"/>
      <c r="W14" s="27">
        <v>0</v>
      </c>
      <c r="X14" s="24">
        <v>1025987</v>
      </c>
      <c r="Y14" s="24">
        <v>9662</v>
      </c>
      <c r="Z14" s="23"/>
      <c r="AA14" s="16">
        <v>4598231</v>
      </c>
      <c r="AB14" s="23" t="s">
        <v>2</v>
      </c>
      <c r="AC14" s="16" t="s">
        <v>12</v>
      </c>
      <c r="AD14" s="23">
        <v>8000</v>
      </c>
      <c r="AE14" s="23">
        <v>6.14</v>
      </c>
      <c r="AF14" s="23">
        <f t="shared" si="0"/>
        <v>49120</v>
      </c>
    </row>
    <row r="15" spans="1:32" s="1" customFormat="1" x14ac:dyDescent="0.25">
      <c r="A15" s="38">
        <v>42759.385925925926</v>
      </c>
      <c r="B15" s="23">
        <v>5348</v>
      </c>
      <c r="C15" s="23" t="s">
        <v>52</v>
      </c>
      <c r="D15" s="23" t="s">
        <v>121</v>
      </c>
      <c r="E15" s="23" t="s">
        <v>15</v>
      </c>
      <c r="F15" s="23" t="s">
        <v>15</v>
      </c>
      <c r="G15" s="23" t="s">
        <v>15</v>
      </c>
      <c r="H15" s="23" t="s">
        <v>7</v>
      </c>
      <c r="I15" s="23">
        <v>0</v>
      </c>
      <c r="J15" s="23">
        <v>0</v>
      </c>
      <c r="K15" s="27" t="s">
        <v>61</v>
      </c>
      <c r="L15" s="27"/>
      <c r="M15" s="24"/>
      <c r="N15" s="24" t="s">
        <v>65</v>
      </c>
      <c r="O15" s="23">
        <v>9598</v>
      </c>
      <c r="P15" s="27">
        <v>2001009566474</v>
      </c>
      <c r="Q15" s="27" t="s">
        <v>62</v>
      </c>
      <c r="R15" s="23">
        <v>85488455</v>
      </c>
      <c r="S15" s="23" t="s">
        <v>63</v>
      </c>
      <c r="T15" s="27" t="s">
        <v>96</v>
      </c>
      <c r="U15" s="28">
        <v>0</v>
      </c>
      <c r="V15" s="27"/>
      <c r="W15" s="27">
        <v>0</v>
      </c>
      <c r="X15" s="24">
        <v>1025987</v>
      </c>
      <c r="Y15" s="24">
        <v>9663</v>
      </c>
      <c r="Z15" s="23"/>
      <c r="AA15" s="16">
        <v>4598231</v>
      </c>
      <c r="AB15" s="23" t="s">
        <v>2</v>
      </c>
      <c r="AC15" s="16" t="s">
        <v>12</v>
      </c>
      <c r="AD15" s="23">
        <v>1000</v>
      </c>
      <c r="AE15" s="23">
        <v>6.14</v>
      </c>
      <c r="AF15" s="23">
        <f t="shared" si="0"/>
        <v>6140</v>
      </c>
    </row>
    <row r="16" spans="1:32" s="1" customFormat="1" x14ac:dyDescent="0.25">
      <c r="A16" s="38">
        <v>42760.385925925926</v>
      </c>
      <c r="B16" s="23">
        <v>5349</v>
      </c>
      <c r="C16" s="23" t="s">
        <v>52</v>
      </c>
      <c r="D16" s="23" t="s">
        <v>121</v>
      </c>
      <c r="E16" s="23" t="s">
        <v>15</v>
      </c>
      <c r="F16" s="23" t="s">
        <v>15</v>
      </c>
      <c r="G16" s="23" t="s">
        <v>15</v>
      </c>
      <c r="H16" s="23" t="s">
        <v>7</v>
      </c>
      <c r="I16" s="23">
        <v>0</v>
      </c>
      <c r="J16" s="23">
        <v>0</v>
      </c>
      <c r="K16" s="27" t="s">
        <v>61</v>
      </c>
      <c r="L16" s="27"/>
      <c r="M16" s="24"/>
      <c r="N16" s="24" t="s">
        <v>65</v>
      </c>
      <c r="O16" s="23">
        <v>9599</v>
      </c>
      <c r="P16" s="27">
        <v>2001009566474</v>
      </c>
      <c r="Q16" s="27" t="s">
        <v>62</v>
      </c>
      <c r="R16" s="23">
        <v>85488455</v>
      </c>
      <c r="S16" s="23" t="s">
        <v>63</v>
      </c>
      <c r="T16" s="27" t="s">
        <v>97</v>
      </c>
      <c r="U16" s="28">
        <v>0</v>
      </c>
      <c r="V16" s="27"/>
      <c r="W16" s="27">
        <v>0</v>
      </c>
      <c r="X16" s="24">
        <v>1025987</v>
      </c>
      <c r="Y16" s="24">
        <v>9664</v>
      </c>
      <c r="Z16" s="23"/>
      <c r="AA16" s="16">
        <v>4598231</v>
      </c>
      <c r="AB16" s="23" t="s">
        <v>2</v>
      </c>
      <c r="AC16" s="16" t="s">
        <v>12</v>
      </c>
      <c r="AD16" s="23">
        <v>6000</v>
      </c>
      <c r="AE16" s="23">
        <v>6.14</v>
      </c>
      <c r="AF16" s="23">
        <f t="shared" si="0"/>
        <v>36840</v>
      </c>
    </row>
    <row r="17" spans="1:32" s="1" customFormat="1" x14ac:dyDescent="0.25">
      <c r="A17" s="38">
        <v>42761.385925925926</v>
      </c>
      <c r="B17" s="23">
        <v>5350</v>
      </c>
      <c r="C17" s="23" t="s">
        <v>52</v>
      </c>
      <c r="D17" s="23" t="s">
        <v>121</v>
      </c>
      <c r="E17" s="23" t="s">
        <v>15</v>
      </c>
      <c r="F17" s="23" t="s">
        <v>15</v>
      </c>
      <c r="G17" s="23" t="s">
        <v>15</v>
      </c>
      <c r="H17" s="23" t="s">
        <v>11</v>
      </c>
      <c r="I17" s="23">
        <v>0</v>
      </c>
      <c r="J17" s="23">
        <v>0</v>
      </c>
      <c r="K17" s="27" t="s">
        <v>58</v>
      </c>
      <c r="L17" s="27"/>
      <c r="M17" s="24"/>
      <c r="N17" s="24" t="s">
        <v>15</v>
      </c>
      <c r="O17" s="23">
        <v>9600</v>
      </c>
      <c r="P17" s="27">
        <v>2001009566474</v>
      </c>
      <c r="Q17" s="27" t="s">
        <v>22</v>
      </c>
      <c r="R17" s="23">
        <v>957421558</v>
      </c>
      <c r="S17" s="23" t="s">
        <v>24</v>
      </c>
      <c r="T17" s="27" t="s">
        <v>98</v>
      </c>
      <c r="U17" s="28">
        <v>69584874</v>
      </c>
      <c r="V17" s="27" t="s">
        <v>47</v>
      </c>
      <c r="W17" s="27">
        <v>0</v>
      </c>
      <c r="X17" s="24">
        <v>0</v>
      </c>
      <c r="Y17" s="24"/>
      <c r="Z17" s="23"/>
      <c r="AA17" s="16">
        <v>4598231</v>
      </c>
      <c r="AB17" s="23" t="s">
        <v>2</v>
      </c>
      <c r="AC17" s="16" t="s">
        <v>12</v>
      </c>
      <c r="AD17" s="23">
        <v>9500</v>
      </c>
      <c r="AE17" s="23">
        <v>8.3000000000000007</v>
      </c>
      <c r="AF17" s="23">
        <f t="shared" si="0"/>
        <v>78850</v>
      </c>
    </row>
    <row r="18" spans="1:32" s="1" customFormat="1" x14ac:dyDescent="0.25">
      <c r="A18" s="38">
        <v>42762.385925925926</v>
      </c>
      <c r="B18" s="23">
        <v>5351</v>
      </c>
      <c r="C18" s="23" t="s">
        <v>52</v>
      </c>
      <c r="D18" s="23" t="s">
        <v>121</v>
      </c>
      <c r="E18" s="23" t="s">
        <v>15</v>
      </c>
      <c r="F18" s="23" t="s">
        <v>15</v>
      </c>
      <c r="G18" s="23" t="s">
        <v>15</v>
      </c>
      <c r="H18" s="23" t="s">
        <v>7</v>
      </c>
      <c r="I18" s="23">
        <v>0</v>
      </c>
      <c r="J18" s="23">
        <v>0</v>
      </c>
      <c r="K18" s="27" t="s">
        <v>77</v>
      </c>
      <c r="L18" s="27"/>
      <c r="M18" s="24"/>
      <c r="N18" s="24" t="s">
        <v>15</v>
      </c>
      <c r="O18" s="23">
        <v>9601</v>
      </c>
      <c r="P18" s="27">
        <v>2001009566474</v>
      </c>
      <c r="Q18" s="27" t="s">
        <v>21</v>
      </c>
      <c r="R18" s="23">
        <v>845967845</v>
      </c>
      <c r="S18" s="23" t="s">
        <v>23</v>
      </c>
      <c r="T18" s="27" t="s">
        <v>99</v>
      </c>
      <c r="U18" s="28">
        <v>2584798</v>
      </c>
      <c r="V18" s="27" t="s">
        <v>47</v>
      </c>
      <c r="W18" s="27">
        <v>46</v>
      </c>
      <c r="X18" s="24">
        <v>0</v>
      </c>
      <c r="Y18" s="24"/>
      <c r="Z18" s="23"/>
      <c r="AA18" s="16">
        <v>4598231</v>
      </c>
      <c r="AB18" s="23" t="s">
        <v>2</v>
      </c>
      <c r="AC18" s="16" t="s">
        <v>12</v>
      </c>
      <c r="AD18" s="23">
        <v>8000</v>
      </c>
      <c r="AE18" s="23">
        <v>6.14</v>
      </c>
      <c r="AF18" s="23">
        <f t="shared" si="0"/>
        <v>49120</v>
      </c>
    </row>
    <row r="19" spans="1:32" x14ac:dyDescent="0.25">
      <c r="A19" s="38">
        <v>42763.385925925926</v>
      </c>
      <c r="B19" s="23">
        <v>5352</v>
      </c>
      <c r="C19" s="23" t="s">
        <v>52</v>
      </c>
      <c r="D19" s="23" t="s">
        <v>121</v>
      </c>
      <c r="E19" s="23" t="s">
        <v>15</v>
      </c>
      <c r="F19" s="23" t="s">
        <v>15</v>
      </c>
      <c r="G19" s="23" t="s">
        <v>15</v>
      </c>
      <c r="H19" s="23" t="s">
        <v>7</v>
      </c>
      <c r="I19" s="23">
        <v>0</v>
      </c>
      <c r="J19" s="23">
        <v>0</v>
      </c>
      <c r="K19" s="27" t="s">
        <v>78</v>
      </c>
      <c r="L19" s="27"/>
      <c r="M19" s="24"/>
      <c r="N19" s="24" t="s">
        <v>15</v>
      </c>
      <c r="O19" s="23">
        <v>9602</v>
      </c>
      <c r="P19" s="27">
        <v>2001009566474</v>
      </c>
      <c r="Q19" s="27" t="s">
        <v>21</v>
      </c>
      <c r="R19" s="23">
        <v>845967845</v>
      </c>
      <c r="S19" s="23" t="s">
        <v>23</v>
      </c>
      <c r="T19" s="27" t="s">
        <v>100</v>
      </c>
      <c r="U19" s="28">
        <v>2584798</v>
      </c>
      <c r="V19" s="27" t="s">
        <v>47</v>
      </c>
      <c r="W19" s="27">
        <v>53434</v>
      </c>
      <c r="X19" s="24">
        <v>0</v>
      </c>
      <c r="Y19" s="24"/>
      <c r="Z19" s="23"/>
      <c r="AA19" s="16">
        <v>4598231</v>
      </c>
      <c r="AB19" s="23" t="s">
        <v>2</v>
      </c>
      <c r="AC19" s="16" t="s">
        <v>12</v>
      </c>
      <c r="AD19" s="23">
        <v>1000</v>
      </c>
      <c r="AE19" s="23">
        <v>6.14</v>
      </c>
      <c r="AF19" s="23">
        <f t="shared" si="0"/>
        <v>6140</v>
      </c>
    </row>
    <row r="20" spans="1:32" x14ac:dyDescent="0.25">
      <c r="A20" s="38">
        <v>42764.385925925926</v>
      </c>
      <c r="B20" s="23">
        <v>5353</v>
      </c>
      <c r="C20" s="23" t="s">
        <v>52</v>
      </c>
      <c r="D20" s="23" t="s">
        <v>121</v>
      </c>
      <c r="E20" s="23" t="s">
        <v>15</v>
      </c>
      <c r="F20" s="23" t="s">
        <v>15</v>
      </c>
      <c r="G20" s="23" t="s">
        <v>15</v>
      </c>
      <c r="H20" s="23" t="s">
        <v>7</v>
      </c>
      <c r="I20" s="23">
        <v>0</v>
      </c>
      <c r="J20" s="23">
        <v>0</v>
      </c>
      <c r="K20" s="27" t="s">
        <v>79</v>
      </c>
      <c r="L20" s="27"/>
      <c r="M20" s="24"/>
      <c r="N20" s="24" t="s">
        <v>15</v>
      </c>
      <c r="O20" s="23">
        <v>9603</v>
      </c>
      <c r="P20" s="27">
        <v>2001009566474</v>
      </c>
      <c r="Q20" s="27" t="s">
        <v>21</v>
      </c>
      <c r="R20" s="23">
        <v>845967845</v>
      </c>
      <c r="S20" s="23" t="s">
        <v>23</v>
      </c>
      <c r="T20" s="27" t="s">
        <v>101</v>
      </c>
      <c r="U20" s="28">
        <v>2584798</v>
      </c>
      <c r="V20" s="27" t="s">
        <v>47</v>
      </c>
      <c r="W20" s="27">
        <v>457</v>
      </c>
      <c r="X20" s="24">
        <v>0</v>
      </c>
      <c r="Y20" s="24"/>
      <c r="Z20" s="23"/>
      <c r="AA20" s="16">
        <v>4598231</v>
      </c>
      <c r="AB20" s="23" t="s">
        <v>2</v>
      </c>
      <c r="AC20" s="16" t="s">
        <v>12</v>
      </c>
      <c r="AD20" s="23">
        <v>3000</v>
      </c>
      <c r="AE20" s="23">
        <v>6.14</v>
      </c>
      <c r="AF20" s="23">
        <f t="shared" si="0"/>
        <v>18420</v>
      </c>
    </row>
    <row r="21" spans="1:32" x14ac:dyDescent="0.25">
      <c r="A21" s="38">
        <v>42765.385925925926</v>
      </c>
      <c r="B21" s="23">
        <v>5354</v>
      </c>
      <c r="C21" s="23" t="s">
        <v>52</v>
      </c>
      <c r="D21" s="23" t="s">
        <v>121</v>
      </c>
      <c r="E21" s="23" t="s">
        <v>15</v>
      </c>
      <c r="F21" s="23" t="s">
        <v>15</v>
      </c>
      <c r="G21" s="23" t="s">
        <v>15</v>
      </c>
      <c r="H21" s="23" t="s">
        <v>7</v>
      </c>
      <c r="I21" s="23">
        <v>0</v>
      </c>
      <c r="J21" s="23">
        <v>0</v>
      </c>
      <c r="K21" s="27" t="s">
        <v>80</v>
      </c>
      <c r="L21" s="27"/>
      <c r="M21" s="24"/>
      <c r="N21" s="24" t="s">
        <v>15</v>
      </c>
      <c r="O21" s="23">
        <v>9604</v>
      </c>
      <c r="P21" s="27">
        <v>2001009566474</v>
      </c>
      <c r="Q21" s="27" t="s">
        <v>21</v>
      </c>
      <c r="R21" s="23">
        <v>845967845</v>
      </c>
      <c r="S21" s="23" t="s">
        <v>23</v>
      </c>
      <c r="T21" s="27" t="s">
        <v>102</v>
      </c>
      <c r="U21" s="28">
        <v>2584798</v>
      </c>
      <c r="V21" s="27" t="s">
        <v>47</v>
      </c>
      <c r="W21" s="27">
        <v>576</v>
      </c>
      <c r="X21" s="24">
        <v>0</v>
      </c>
      <c r="Y21" s="24"/>
      <c r="Z21" s="23"/>
      <c r="AA21" s="16">
        <v>4598231</v>
      </c>
      <c r="AB21" s="23" t="s">
        <v>2</v>
      </c>
      <c r="AC21" s="16" t="s">
        <v>12</v>
      </c>
      <c r="AD21" s="23">
        <v>9000</v>
      </c>
      <c r="AE21" s="23">
        <v>6.14</v>
      </c>
      <c r="AF21" s="23">
        <f t="shared" si="0"/>
        <v>55260</v>
      </c>
    </row>
    <row r="22" spans="1:32" x14ac:dyDescent="0.25">
      <c r="A22" s="38">
        <v>42766.385925925926</v>
      </c>
      <c r="B22" s="23">
        <v>5355</v>
      </c>
      <c r="C22" s="23" t="s">
        <v>52</v>
      </c>
      <c r="D22" s="23" t="s">
        <v>121</v>
      </c>
      <c r="E22" s="23" t="s">
        <v>15</v>
      </c>
      <c r="F22" s="23" t="s">
        <v>15</v>
      </c>
      <c r="G22" s="23" t="s">
        <v>15</v>
      </c>
      <c r="H22" s="23" t="s">
        <v>11</v>
      </c>
      <c r="I22" s="23">
        <v>0</v>
      </c>
      <c r="J22" s="23">
        <v>0</v>
      </c>
      <c r="K22" s="27" t="s">
        <v>58</v>
      </c>
      <c r="L22" s="27"/>
      <c r="M22" s="24"/>
      <c r="N22" s="24" t="s">
        <v>15</v>
      </c>
      <c r="O22" s="23">
        <v>9605</v>
      </c>
      <c r="P22" s="27">
        <v>2001009566474</v>
      </c>
      <c r="Q22" s="27" t="s">
        <v>22</v>
      </c>
      <c r="R22" s="23">
        <v>957421558</v>
      </c>
      <c r="S22" s="23" t="s">
        <v>24</v>
      </c>
      <c r="T22" s="27" t="s">
        <v>103</v>
      </c>
      <c r="U22" s="28">
        <v>69584874</v>
      </c>
      <c r="V22" s="27" t="s">
        <v>47</v>
      </c>
      <c r="W22" s="27">
        <v>0</v>
      </c>
      <c r="X22" s="24">
        <v>0</v>
      </c>
      <c r="Y22" s="24"/>
      <c r="Z22" s="23"/>
      <c r="AA22" s="16">
        <v>4598231</v>
      </c>
      <c r="AB22" s="23" t="s">
        <v>2</v>
      </c>
      <c r="AC22" s="16" t="s">
        <v>12</v>
      </c>
      <c r="AD22" s="23">
        <v>1500</v>
      </c>
      <c r="AE22" s="23">
        <v>8.3000000000000007</v>
      </c>
      <c r="AF22" s="23">
        <f t="shared" si="0"/>
        <v>12450.000000000002</v>
      </c>
    </row>
    <row r="23" spans="1:32" x14ac:dyDescent="0.25">
      <c r="Y2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/>
  </sheetViews>
  <sheetFormatPr baseColWidth="10" defaultRowHeight="15" x14ac:dyDescent="0.25"/>
  <cols>
    <col min="1" max="1" width="19.85546875" customWidth="1"/>
    <col min="3" max="3" width="17.7109375" customWidth="1"/>
    <col min="6" max="6" width="16.5703125" customWidth="1"/>
    <col min="9" max="9" width="17.5703125" customWidth="1"/>
    <col min="11" max="11" width="19.42578125" customWidth="1"/>
    <col min="20" max="20" width="20.42578125" customWidth="1"/>
    <col min="23" max="23" width="19.140625" customWidth="1"/>
    <col min="24" max="24" width="19.28515625" customWidth="1"/>
    <col min="25" max="25" width="19" style="1" customWidth="1"/>
    <col min="26" max="26" width="14.5703125" customWidth="1"/>
  </cols>
  <sheetData>
    <row r="1" spans="1:32" x14ac:dyDescent="0.25">
      <c r="A1" s="39" t="s">
        <v>125</v>
      </c>
      <c r="B1" s="23">
        <v>234</v>
      </c>
      <c r="C1" s="23" t="s">
        <v>123</v>
      </c>
      <c r="D1" s="23" t="s">
        <v>122</v>
      </c>
      <c r="E1" s="23" t="s">
        <v>66</v>
      </c>
      <c r="F1" s="23" t="s">
        <v>52</v>
      </c>
      <c r="G1" s="23" t="s">
        <v>121</v>
      </c>
      <c r="H1" s="23" t="s">
        <v>7</v>
      </c>
      <c r="I1" s="23">
        <v>15</v>
      </c>
      <c r="J1" s="23">
        <v>0</v>
      </c>
      <c r="K1" s="27"/>
      <c r="L1" s="27"/>
      <c r="M1" s="24"/>
      <c r="N1" s="24" t="s">
        <v>15</v>
      </c>
      <c r="O1" s="23">
        <v>0</v>
      </c>
      <c r="P1" s="27">
        <v>0</v>
      </c>
      <c r="Q1" s="27"/>
      <c r="R1" s="23">
        <v>0</v>
      </c>
      <c r="S1" s="23"/>
      <c r="T1" s="27" t="s">
        <v>27</v>
      </c>
      <c r="U1" s="28">
        <v>0</v>
      </c>
      <c r="V1" s="27"/>
      <c r="W1" s="27">
        <v>0</v>
      </c>
      <c r="X1" s="24">
        <v>0</v>
      </c>
      <c r="Y1" s="24"/>
      <c r="Z1" s="23"/>
      <c r="AA1" s="16">
        <v>4598231</v>
      </c>
      <c r="AB1" s="23" t="s">
        <v>2</v>
      </c>
      <c r="AC1" s="16" t="s">
        <v>12</v>
      </c>
      <c r="AD1" s="16">
        <v>15000</v>
      </c>
      <c r="AE1" s="23">
        <v>0</v>
      </c>
      <c r="AF1" s="23">
        <v>0</v>
      </c>
    </row>
    <row r="2" spans="1:32" s="1" customFormat="1" x14ac:dyDescent="0.25">
      <c r="A2" s="34">
        <v>42742.313171296293</v>
      </c>
      <c r="B2" s="23">
        <v>235</v>
      </c>
      <c r="C2" s="23" t="s">
        <v>123</v>
      </c>
      <c r="D2" s="23" t="s">
        <v>122</v>
      </c>
      <c r="E2" s="23" t="s">
        <v>66</v>
      </c>
      <c r="F2" s="23" t="s">
        <v>52</v>
      </c>
      <c r="G2" s="23" t="s">
        <v>121</v>
      </c>
      <c r="H2" s="23" t="s">
        <v>7</v>
      </c>
      <c r="I2" s="23">
        <v>15</v>
      </c>
      <c r="J2" s="23">
        <v>0</v>
      </c>
      <c r="K2" s="27"/>
      <c r="L2" s="27"/>
      <c r="M2" s="24"/>
      <c r="N2" s="24" t="s">
        <v>15</v>
      </c>
      <c r="O2" s="23">
        <v>0</v>
      </c>
      <c r="P2" s="27">
        <v>0</v>
      </c>
      <c r="Q2" s="27"/>
      <c r="R2" s="23">
        <v>0</v>
      </c>
      <c r="S2" s="23"/>
      <c r="T2" s="27" t="s">
        <v>28</v>
      </c>
      <c r="U2" s="28">
        <v>0</v>
      </c>
      <c r="V2" s="27"/>
      <c r="W2" s="27">
        <v>0</v>
      </c>
      <c r="X2" s="24">
        <v>0</v>
      </c>
      <c r="Y2" s="24"/>
      <c r="Z2" s="23"/>
      <c r="AA2" s="16">
        <v>4598231</v>
      </c>
      <c r="AB2" s="23" t="s">
        <v>2</v>
      </c>
      <c r="AC2" s="16" t="s">
        <v>12</v>
      </c>
      <c r="AD2" s="16">
        <v>25000</v>
      </c>
      <c r="AE2" s="23">
        <v>0</v>
      </c>
      <c r="AF2" s="23">
        <v>0</v>
      </c>
    </row>
    <row r="3" spans="1:32" s="1" customFormat="1" x14ac:dyDescent="0.25">
      <c r="A3" s="34">
        <v>42750.31318287037</v>
      </c>
      <c r="B3" s="23">
        <v>236</v>
      </c>
      <c r="C3" s="23" t="s">
        <v>123</v>
      </c>
      <c r="D3" s="23" t="s">
        <v>122</v>
      </c>
      <c r="E3" s="23" t="s">
        <v>66</v>
      </c>
      <c r="F3" s="23" t="s">
        <v>52</v>
      </c>
      <c r="G3" s="23" t="s">
        <v>121</v>
      </c>
      <c r="H3" s="23" t="s">
        <v>7</v>
      </c>
      <c r="I3" s="23">
        <v>15</v>
      </c>
      <c r="J3" s="23">
        <v>0</v>
      </c>
      <c r="K3" s="27"/>
      <c r="L3" s="27"/>
      <c r="M3" s="24"/>
      <c r="N3" s="24" t="s">
        <v>15</v>
      </c>
      <c r="O3" s="23">
        <v>0</v>
      </c>
      <c r="P3" s="27">
        <v>0</v>
      </c>
      <c r="Q3" s="27"/>
      <c r="R3" s="23">
        <v>0</v>
      </c>
      <c r="S3" s="23"/>
      <c r="T3" s="27" t="s">
        <v>29</v>
      </c>
      <c r="U3" s="28">
        <v>0</v>
      </c>
      <c r="V3" s="27"/>
      <c r="W3" s="27">
        <v>0</v>
      </c>
      <c r="X3" s="24">
        <v>0</v>
      </c>
      <c r="Y3" s="24"/>
      <c r="Z3" s="23"/>
      <c r="AA3" s="16">
        <v>4598231</v>
      </c>
      <c r="AB3" s="23" t="s">
        <v>2</v>
      </c>
      <c r="AC3" s="16" t="s">
        <v>12</v>
      </c>
      <c r="AD3" s="16">
        <v>18000</v>
      </c>
      <c r="AE3" s="23">
        <v>0</v>
      </c>
      <c r="AF3" s="23">
        <v>0</v>
      </c>
    </row>
    <row r="4" spans="1:32" s="1" customFormat="1" x14ac:dyDescent="0.25">
      <c r="A4" s="34">
        <v>42755.313171296293</v>
      </c>
      <c r="B4" s="23">
        <v>237</v>
      </c>
      <c r="C4" s="23" t="s">
        <v>123</v>
      </c>
      <c r="D4" s="23" t="s">
        <v>122</v>
      </c>
      <c r="E4" s="23" t="s">
        <v>66</v>
      </c>
      <c r="F4" s="23" t="s">
        <v>52</v>
      </c>
      <c r="G4" s="23" t="s">
        <v>121</v>
      </c>
      <c r="H4" s="23" t="s">
        <v>7</v>
      </c>
      <c r="I4" s="23">
        <v>15</v>
      </c>
      <c r="J4" s="23">
        <v>0</v>
      </c>
      <c r="K4" s="27"/>
      <c r="L4" s="27"/>
      <c r="M4" s="24"/>
      <c r="N4" s="24" t="s">
        <v>15</v>
      </c>
      <c r="O4" s="23">
        <v>0</v>
      </c>
      <c r="P4" s="27">
        <v>0</v>
      </c>
      <c r="Q4" s="27"/>
      <c r="R4" s="23">
        <v>0</v>
      </c>
      <c r="S4" s="23"/>
      <c r="T4" s="27" t="s">
        <v>30</v>
      </c>
      <c r="U4" s="28">
        <v>0</v>
      </c>
      <c r="V4" s="27"/>
      <c r="W4" s="27">
        <v>0</v>
      </c>
      <c r="X4" s="24">
        <v>0</v>
      </c>
      <c r="Y4" s="24"/>
      <c r="Z4" s="23"/>
      <c r="AA4" s="16">
        <v>4598231</v>
      </c>
      <c r="AB4" s="23" t="s">
        <v>2</v>
      </c>
      <c r="AC4" s="16" t="s">
        <v>12</v>
      </c>
      <c r="AD4" s="16">
        <v>23000</v>
      </c>
      <c r="AE4" s="23">
        <v>0</v>
      </c>
      <c r="AF4" s="23">
        <v>0</v>
      </c>
    </row>
    <row r="5" spans="1:32" s="1" customFormat="1" x14ac:dyDescent="0.25">
      <c r="A5" s="34">
        <v>42760.31318287037</v>
      </c>
      <c r="B5" s="23">
        <v>238</v>
      </c>
      <c r="C5" s="23" t="s">
        <v>123</v>
      </c>
      <c r="D5" s="23" t="s">
        <v>122</v>
      </c>
      <c r="E5" s="23" t="s">
        <v>66</v>
      </c>
      <c r="F5" s="23" t="s">
        <v>52</v>
      </c>
      <c r="G5" s="23" t="s">
        <v>121</v>
      </c>
      <c r="H5" s="23" t="s">
        <v>7</v>
      </c>
      <c r="I5" s="23">
        <v>15</v>
      </c>
      <c r="J5" s="23">
        <v>0</v>
      </c>
      <c r="K5" s="27"/>
      <c r="L5" s="27"/>
      <c r="M5" s="24"/>
      <c r="N5" s="24" t="s">
        <v>15</v>
      </c>
      <c r="O5" s="23">
        <v>0</v>
      </c>
      <c r="P5" s="27">
        <v>0</v>
      </c>
      <c r="Q5" s="27"/>
      <c r="R5" s="23">
        <v>0</v>
      </c>
      <c r="S5" s="23"/>
      <c r="T5" s="27" t="s">
        <v>71</v>
      </c>
      <c r="U5" s="28">
        <v>0</v>
      </c>
      <c r="V5" s="27"/>
      <c r="W5" s="27">
        <v>0</v>
      </c>
      <c r="X5" s="24">
        <v>0</v>
      </c>
      <c r="Y5" s="24"/>
      <c r="Z5" s="23"/>
      <c r="AA5" s="16">
        <v>4598231</v>
      </c>
      <c r="AB5" s="23" t="s">
        <v>2</v>
      </c>
      <c r="AC5" s="16" t="s">
        <v>12</v>
      </c>
      <c r="AD5" s="16">
        <v>19000</v>
      </c>
      <c r="AE5" s="23">
        <v>0</v>
      </c>
      <c r="AF5" s="23">
        <v>0</v>
      </c>
    </row>
    <row r="6" spans="1:32" s="1" customFormat="1" x14ac:dyDescent="0.25">
      <c r="A6" s="34">
        <v>42766.31318287037</v>
      </c>
      <c r="B6" s="23">
        <v>239</v>
      </c>
      <c r="C6" s="23" t="s">
        <v>52</v>
      </c>
      <c r="D6" s="23" t="s">
        <v>121</v>
      </c>
      <c r="E6" s="23" t="s">
        <v>66</v>
      </c>
      <c r="F6" s="23" t="s">
        <v>123</v>
      </c>
      <c r="G6" s="23" t="s">
        <v>122</v>
      </c>
      <c r="H6" s="23" t="s">
        <v>7</v>
      </c>
      <c r="I6" s="23">
        <v>15</v>
      </c>
      <c r="J6" s="23">
        <v>0</v>
      </c>
      <c r="K6" s="27"/>
      <c r="L6" s="27"/>
      <c r="M6" s="24"/>
      <c r="N6" s="24" t="s">
        <v>15</v>
      </c>
      <c r="O6" s="23">
        <v>0</v>
      </c>
      <c r="P6" s="27">
        <v>0</v>
      </c>
      <c r="Q6" s="27"/>
      <c r="R6" s="23">
        <v>0</v>
      </c>
      <c r="S6" s="23"/>
      <c r="T6" s="27" t="s">
        <v>104</v>
      </c>
      <c r="U6" s="28">
        <v>0</v>
      </c>
      <c r="V6" s="27"/>
      <c r="W6" s="27">
        <v>0</v>
      </c>
      <c r="X6" s="24">
        <v>0</v>
      </c>
      <c r="Y6" s="24"/>
      <c r="Z6" s="23"/>
      <c r="AA6" s="16">
        <v>4598231</v>
      </c>
      <c r="AB6" s="23" t="s">
        <v>2</v>
      </c>
      <c r="AC6" s="16" t="s">
        <v>12</v>
      </c>
      <c r="AD6" s="16">
        <v>11000</v>
      </c>
      <c r="AE6" s="23">
        <v>0</v>
      </c>
      <c r="AF6" s="23">
        <v>0</v>
      </c>
    </row>
    <row r="7" spans="1:32" s="1" customFormat="1" x14ac:dyDescent="0.25">
      <c r="A7" s="34">
        <v>42753.454409722224</v>
      </c>
      <c r="B7" s="23">
        <v>493</v>
      </c>
      <c r="C7" s="23" t="s">
        <v>123</v>
      </c>
      <c r="D7" s="23" t="s">
        <v>122</v>
      </c>
      <c r="E7" s="23" t="s">
        <v>66</v>
      </c>
      <c r="F7" s="23" t="s">
        <v>15</v>
      </c>
      <c r="G7" s="23" t="s">
        <v>15</v>
      </c>
      <c r="H7" s="23" t="s">
        <v>7</v>
      </c>
      <c r="I7" s="23">
        <v>15</v>
      </c>
      <c r="J7" s="23">
        <v>0</v>
      </c>
      <c r="K7" s="27"/>
      <c r="L7" s="27"/>
      <c r="M7" s="24"/>
      <c r="N7" s="24" t="s">
        <v>15</v>
      </c>
      <c r="O7" s="23">
        <v>0</v>
      </c>
      <c r="P7" s="27">
        <v>0</v>
      </c>
      <c r="Q7" s="27"/>
      <c r="R7" s="23">
        <v>0</v>
      </c>
      <c r="S7" s="23"/>
      <c r="T7" s="27" t="s">
        <v>72</v>
      </c>
      <c r="U7" s="28">
        <v>0</v>
      </c>
      <c r="V7" s="27"/>
      <c r="W7" s="27">
        <v>0</v>
      </c>
      <c r="X7" s="24">
        <v>0</v>
      </c>
      <c r="Y7" s="24"/>
      <c r="Z7" s="23"/>
      <c r="AA7" s="16">
        <v>4598231</v>
      </c>
      <c r="AB7" s="23" t="s">
        <v>2</v>
      </c>
      <c r="AC7" s="16" t="s">
        <v>12</v>
      </c>
      <c r="AD7" s="16">
        <v>23500</v>
      </c>
      <c r="AE7" s="23">
        <v>0</v>
      </c>
      <c r="AF7" s="23">
        <v>0</v>
      </c>
    </row>
    <row r="8" spans="1:32" s="1" customFormat="1" x14ac:dyDescent="0.25">
      <c r="A8" s="34">
        <v>42762.454409722224</v>
      </c>
      <c r="B8" s="23">
        <v>494</v>
      </c>
      <c r="C8" s="23" t="s">
        <v>123</v>
      </c>
      <c r="D8" s="23" t="s">
        <v>122</v>
      </c>
      <c r="E8" s="23" t="s">
        <v>66</v>
      </c>
      <c r="F8" s="23" t="s">
        <v>15</v>
      </c>
      <c r="G8" s="23" t="s">
        <v>15</v>
      </c>
      <c r="H8" s="23" t="s">
        <v>7</v>
      </c>
      <c r="I8" s="23">
        <v>15</v>
      </c>
      <c r="J8" s="23">
        <v>0</v>
      </c>
      <c r="K8" s="27"/>
      <c r="L8" s="27"/>
      <c r="M8" s="24"/>
      <c r="N8" s="24" t="s">
        <v>15</v>
      </c>
      <c r="O8" s="23">
        <v>0</v>
      </c>
      <c r="P8" s="27">
        <v>0</v>
      </c>
      <c r="Q8" s="27"/>
      <c r="R8" s="23">
        <v>0</v>
      </c>
      <c r="S8" s="23"/>
      <c r="T8" s="27" t="s">
        <v>72</v>
      </c>
      <c r="U8" s="28">
        <v>0</v>
      </c>
      <c r="V8" s="27"/>
      <c r="W8" s="27">
        <v>0</v>
      </c>
      <c r="X8" s="24">
        <v>0</v>
      </c>
      <c r="Y8" s="24"/>
      <c r="Z8" s="23"/>
      <c r="AA8" s="16">
        <v>4598231</v>
      </c>
      <c r="AB8" s="23" t="s">
        <v>2</v>
      </c>
      <c r="AC8" s="16" t="s">
        <v>12</v>
      </c>
      <c r="AD8" s="16">
        <v>2800</v>
      </c>
      <c r="AE8" s="23">
        <v>0</v>
      </c>
      <c r="AF8" s="23">
        <v>0</v>
      </c>
    </row>
    <row r="9" spans="1:32" x14ac:dyDescent="0.25">
      <c r="Y9" s="32"/>
    </row>
    <row r="10" spans="1:32" x14ac:dyDescent="0.25">
      <c r="Y10" s="32"/>
    </row>
    <row r="11" spans="1:32" x14ac:dyDescent="0.25">
      <c r="Y11" s="32"/>
    </row>
    <row r="12" spans="1:32" x14ac:dyDescent="0.25">
      <c r="Y12" s="32"/>
    </row>
    <row r="13" spans="1:32" x14ac:dyDescent="0.25">
      <c r="Y13" s="32"/>
    </row>
    <row r="14" spans="1:32" x14ac:dyDescent="0.25">
      <c r="Y14" s="32"/>
    </row>
    <row r="15" spans="1:32" x14ac:dyDescent="0.25">
      <c r="Y15" s="32"/>
    </row>
    <row r="16" spans="1:32" x14ac:dyDescent="0.25">
      <c r="Y16" s="32"/>
    </row>
    <row r="17" spans="25:25" x14ac:dyDescent="0.25">
      <c r="Y17" s="32"/>
    </row>
    <row r="18" spans="25:25" x14ac:dyDescent="0.25">
      <c r="Y18" s="32"/>
    </row>
    <row r="19" spans="25:25" x14ac:dyDescent="0.25">
      <c r="Y19" s="32"/>
    </row>
    <row r="20" spans="25:25" x14ac:dyDescent="0.25">
      <c r="Y20" s="32"/>
    </row>
    <row r="21" spans="25:25" x14ac:dyDescent="0.25">
      <c r="Y21" s="32"/>
    </row>
    <row r="22" spans="25:25" x14ac:dyDescent="0.25">
      <c r="Y22" s="32"/>
    </row>
    <row r="23" spans="25:25" x14ac:dyDescent="0.25">
      <c r="Y2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baseColWidth="10" defaultRowHeight="15" x14ac:dyDescent="0.25"/>
  <cols>
    <col min="1" max="1" width="19.28515625" customWidth="1"/>
    <col min="2" max="2" width="15.85546875" customWidth="1"/>
    <col min="3" max="3" width="20.85546875" customWidth="1"/>
    <col min="4" max="4" width="17.42578125" customWidth="1"/>
    <col min="5" max="6" width="19.140625" customWidth="1"/>
    <col min="7" max="7" width="18.7109375" customWidth="1"/>
    <col min="9" max="9" width="16.85546875" customWidth="1"/>
    <col min="10" max="10" width="14.5703125" customWidth="1"/>
    <col min="11" max="11" width="21.140625" customWidth="1"/>
    <col min="13" max="13" width="14" customWidth="1"/>
    <col min="15" max="15" width="14" customWidth="1"/>
    <col min="16" max="16" width="15.5703125" customWidth="1"/>
    <col min="19" max="19" width="15.5703125" customWidth="1"/>
    <col min="20" max="20" width="19.85546875" customWidth="1"/>
    <col min="21" max="21" width="13.28515625" customWidth="1"/>
    <col min="22" max="22" width="13.85546875" customWidth="1"/>
    <col min="23" max="23" width="16.140625" customWidth="1"/>
    <col min="24" max="24" width="14.5703125" customWidth="1"/>
    <col min="25" max="25" width="21.5703125" style="1" customWidth="1"/>
    <col min="26" max="26" width="16.28515625" customWidth="1"/>
  </cols>
  <sheetData>
    <row r="1" spans="1:32" x14ac:dyDescent="0.25">
      <c r="A1" s="38">
        <v>42738.454409722224</v>
      </c>
      <c r="B1" s="24">
        <v>34</v>
      </c>
      <c r="C1" s="23" t="s">
        <v>123</v>
      </c>
      <c r="D1" s="23" t="s">
        <v>122</v>
      </c>
      <c r="E1" s="23" t="s">
        <v>66</v>
      </c>
      <c r="F1" s="23" t="s">
        <v>15</v>
      </c>
      <c r="G1" s="23" t="s">
        <v>15</v>
      </c>
      <c r="H1" s="23" t="s">
        <v>7</v>
      </c>
      <c r="I1" s="23">
        <v>15</v>
      </c>
      <c r="J1" s="23">
        <v>0</v>
      </c>
      <c r="K1" s="27"/>
      <c r="L1" s="27"/>
      <c r="M1" s="24"/>
      <c r="N1" s="24" t="s">
        <v>15</v>
      </c>
      <c r="O1" s="23">
        <v>0</v>
      </c>
      <c r="P1" s="27">
        <v>0</v>
      </c>
      <c r="Q1" s="27"/>
      <c r="R1" s="23">
        <v>0</v>
      </c>
      <c r="S1" s="23"/>
      <c r="T1" s="27" t="s">
        <v>73</v>
      </c>
      <c r="U1" s="28">
        <v>0</v>
      </c>
      <c r="V1" s="27"/>
      <c r="W1" s="27">
        <v>0</v>
      </c>
      <c r="X1" s="24">
        <v>0</v>
      </c>
      <c r="Y1" s="24"/>
      <c r="Z1" s="23"/>
      <c r="AA1" s="16">
        <v>4598231</v>
      </c>
      <c r="AB1" s="23" t="s">
        <v>2</v>
      </c>
      <c r="AC1" s="16" t="s">
        <v>12</v>
      </c>
      <c r="AD1" s="23">
        <v>102</v>
      </c>
      <c r="AE1" s="23">
        <v>0</v>
      </c>
      <c r="AF1" s="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baseColWidth="10" defaultRowHeight="15" x14ac:dyDescent="0.25"/>
  <cols>
    <col min="1" max="1" width="19.140625" customWidth="1"/>
    <col min="3" max="3" width="21.28515625" customWidth="1"/>
    <col min="4" max="4" width="18.42578125" customWidth="1"/>
    <col min="5" max="5" width="19.140625" customWidth="1"/>
    <col min="6" max="6" width="20.7109375" customWidth="1"/>
    <col min="7" max="7" width="19" customWidth="1"/>
    <col min="9" max="9" width="14.28515625" customWidth="1"/>
    <col min="11" max="11" width="20.7109375" customWidth="1"/>
    <col min="13" max="13" width="14.85546875" customWidth="1"/>
    <col min="22" max="22" width="14.42578125" customWidth="1"/>
    <col min="23" max="23" width="18.42578125" customWidth="1"/>
    <col min="24" max="24" width="16" customWidth="1"/>
    <col min="25" max="25" width="21.5703125" style="1" customWidth="1"/>
  </cols>
  <sheetData>
    <row r="1" spans="1:32" x14ac:dyDescent="0.25">
      <c r="A1" s="38">
        <v>42738.454409722224</v>
      </c>
      <c r="B1" s="23">
        <v>497</v>
      </c>
      <c r="C1" s="24" t="s">
        <v>123</v>
      </c>
      <c r="D1" s="23" t="s">
        <v>122</v>
      </c>
      <c r="E1" s="23" t="s">
        <v>124</v>
      </c>
      <c r="F1" s="23" t="s">
        <v>55</v>
      </c>
      <c r="G1" s="23" t="s">
        <v>15</v>
      </c>
      <c r="H1" s="23" t="s">
        <v>7</v>
      </c>
      <c r="I1" s="23">
        <v>15</v>
      </c>
      <c r="J1" s="23"/>
      <c r="K1" s="27" t="s">
        <v>116</v>
      </c>
      <c r="L1" s="27"/>
      <c r="M1" s="24" t="s">
        <v>35</v>
      </c>
      <c r="N1" s="24" t="s">
        <v>15</v>
      </c>
      <c r="O1" s="23">
        <v>0</v>
      </c>
      <c r="P1" s="27">
        <v>0</v>
      </c>
      <c r="Q1" s="27"/>
      <c r="R1" s="23">
        <v>0</v>
      </c>
      <c r="S1" s="23"/>
      <c r="T1" s="27" t="s">
        <v>117</v>
      </c>
      <c r="U1" s="28">
        <v>0</v>
      </c>
      <c r="V1" s="27"/>
      <c r="W1" s="27">
        <v>854885</v>
      </c>
      <c r="X1" s="24">
        <v>965874</v>
      </c>
      <c r="Y1" s="24"/>
      <c r="Z1" s="23" t="s">
        <v>39</v>
      </c>
      <c r="AA1" s="16">
        <v>4598231</v>
      </c>
      <c r="AB1" s="23" t="s">
        <v>2</v>
      </c>
      <c r="AC1" s="16" t="s">
        <v>12</v>
      </c>
      <c r="AD1" s="23">
        <v>750</v>
      </c>
      <c r="AE1" s="23">
        <v>0</v>
      </c>
      <c r="AF1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Tipos de Operaciones </vt:lpstr>
      <vt:lpstr>Ejm. salidaXVenta</vt:lpstr>
      <vt:lpstr>Ejm. salidaXMovInterno</vt:lpstr>
      <vt:lpstr>Ejm. salidaXMerma</vt:lpstr>
      <vt:lpstr>Ejm. salidaXTransferencia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2017-04-12T16:25:54Z</dcterms:modified>
</cp:coreProperties>
</file>