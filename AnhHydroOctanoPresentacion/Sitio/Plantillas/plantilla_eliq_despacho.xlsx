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120" windowWidth="18195" windowHeight="8445"/>
  </bookViews>
  <sheets>
    <sheet name="Listado Tipos de Operaciones" sheetId="15" r:id="rId1"/>
    <sheet name="SalXVenta" sheetId="21" r:id="rId2"/>
    <sheet name="SalXMerma" sheetId="20" r:id="rId3"/>
  </sheets>
  <calcPr calcId="152511"/>
</workbook>
</file>

<file path=xl/calcChain.xml><?xml version="1.0" encoding="utf-8"?>
<calcChain xmlns="http://schemas.openxmlformats.org/spreadsheetml/2006/main">
  <c r="AA10" i="15" l="1"/>
  <c r="S10" i="15"/>
  <c r="S6" i="15"/>
  <c r="S5" i="15"/>
</calcChain>
</file>

<file path=xl/sharedStrings.xml><?xml version="1.0" encoding="utf-8"?>
<sst xmlns="http://schemas.openxmlformats.org/spreadsheetml/2006/main" count="460" uniqueCount="142">
  <si>
    <t>CANTIDAD</t>
  </si>
  <si>
    <t>PRECIO</t>
  </si>
  <si>
    <t>V</t>
  </si>
  <si>
    <t>PAIS</t>
  </si>
  <si>
    <t>BOLIVIA</t>
  </si>
  <si>
    <t>NIT</t>
  </si>
  <si>
    <t>RAZON SOCIAL</t>
  </si>
  <si>
    <t>PRODUCTO</t>
  </si>
  <si>
    <t>NOID</t>
  </si>
  <si>
    <t>C.I. USUARIO</t>
  </si>
  <si>
    <t>IMPORTE</t>
  </si>
  <si>
    <t>TK</t>
  </si>
  <si>
    <t>ESTADO
V = VALIDO
A = ANULADO</t>
  </si>
  <si>
    <t>TIPO DE OPERACIÓN\COLUMNA CSV</t>
  </si>
  <si>
    <t>FECHA</t>
  </si>
  <si>
    <t>COPIA PLACA</t>
  </si>
  <si>
    <t>NO FACTURA</t>
  </si>
  <si>
    <t>NO AUTORIZACION</t>
  </si>
  <si>
    <t>SAL X VENTA</t>
  </si>
  <si>
    <t>SAL X MERMA</t>
  </si>
  <si>
    <t>TIPO INFRA RECEPTOR/DESPACHANTE NOID = NO IDENTIFICADO
TK = TANQUE
MN = MANGUERA</t>
  </si>
  <si>
    <t>GE</t>
  </si>
  <si>
    <t>EF</t>
  </si>
  <si>
    <t>NRO VALE</t>
  </si>
  <si>
    <t>TK-DO001</t>
  </si>
  <si>
    <t>DO</t>
  </si>
  <si>
    <t xml:space="preserve">NUMERO REFERENCIA </t>
  </si>
  <si>
    <t>01/10/2016</t>
  </si>
  <si>
    <t>01/10/2016 08:10:00</t>
  </si>
  <si>
    <t>01/10/2016 08:15:00</t>
  </si>
  <si>
    <t>01/10/2016 08:30:00</t>
  </si>
  <si>
    <t>01/10/2016 08:40:00</t>
  </si>
  <si>
    <t>MN</t>
  </si>
  <si>
    <t>MN-A1</t>
  </si>
  <si>
    <t>MN-A2</t>
  </si>
  <si>
    <t>458KOL</t>
  </si>
  <si>
    <t>ANDRADE</t>
  </si>
  <si>
    <t>11-AA-45-45</t>
  </si>
  <si>
    <t>543GTR</t>
  </si>
  <si>
    <t>PRE</t>
  </si>
  <si>
    <t>CONSTRUCTORA S.R.L.</t>
  </si>
  <si>
    <t>54-76-A1-78-98</t>
  </si>
  <si>
    <t>985HXX</t>
  </si>
  <si>
    <t>VAL</t>
  </si>
  <si>
    <t>AB84959</t>
  </si>
  <si>
    <t>BRASIL</t>
  </si>
  <si>
    <t>INTERNACIONAL S.A.</t>
  </si>
  <si>
    <t>34-56-12-A3</t>
  </si>
  <si>
    <t>AA-23-45-BC-D2</t>
  </si>
  <si>
    <t>CODIGO CONTROL</t>
  </si>
  <si>
    <t>DOCUMENTO - FACTURA</t>
  </si>
  <si>
    <t>DOCUMENTO - VALE</t>
  </si>
  <si>
    <t>DOCUMENTO - FACTURA EXTERNA</t>
  </si>
  <si>
    <t>NO AUTORIZACION DE VENTA</t>
  </si>
  <si>
    <t>DOC - AUTORIZACION VTA</t>
  </si>
  <si>
    <t>SC</t>
  </si>
  <si>
    <t>NO FACTURA EXTERNA</t>
  </si>
  <si>
    <t>NO AUTORIZACION EXTERNA</t>
  </si>
  <si>
    <t>CODIGO CONTROL EXTERNA</t>
  </si>
  <si>
    <t>PRECIO EXTERNA</t>
  </si>
  <si>
    <t>IMPORTE EXTERNA</t>
  </si>
  <si>
    <t>IDENTIFICADOR        PLACA/ENVASE
BIDO = BIDON
BOTE = BOTELLA
OTRO = OTROS</t>
  </si>
  <si>
    <t>01/10/2016 09:00:34</t>
  </si>
  <si>
    <t>BIDO</t>
  </si>
  <si>
    <t>LIRA</t>
  </si>
  <si>
    <t>11-AA-66-66</t>
  </si>
  <si>
    <t>DOC - PRINCIPAL</t>
  </si>
  <si>
    <t>SUIC</t>
  </si>
  <si>
    <t>DOC - SERVICIO ADICIONAL</t>
  </si>
  <si>
    <t>TIPO SERVICIO ADICIONAL
NOID = NO IDENTIFICADO
SUIC = SERV. UNICO INTEGRAL DE CONSUM.
DS2243 = DECRETO SUPREMO 2243
SICEVE = SICEVE</t>
  </si>
  <si>
    <t>TIPO DE AUTORIZACION DE VENTA
NOID = NO IDENTIFICADO
SC = SUST.CONTROLADAS
CC = COM.CONJUNTO</t>
  </si>
  <si>
    <t>INFRAESTRUCTURA RECEPTOR/DESPACHANTE 
NOID = NO IDENTIFICADO</t>
  </si>
  <si>
    <t>V234</t>
  </si>
  <si>
    <t>FORMA PAGO
EF = EFECTIVO
PRE = PRE-PAGO
VAL = VALE</t>
  </si>
  <si>
    <t>423GTR</t>
  </si>
  <si>
    <t>EMPRESA S.A.</t>
  </si>
  <si>
    <t>65-AC-53-66-88</t>
  </si>
  <si>
    <t>1821BPN</t>
  </si>
  <si>
    <t>3108ESR</t>
  </si>
  <si>
    <t>1992YDX</t>
  </si>
  <si>
    <t>2921KFC</t>
  </si>
  <si>
    <t>4127EYY</t>
  </si>
  <si>
    <t>675AUP</t>
  </si>
  <si>
    <t>1373YSC</t>
  </si>
  <si>
    <t>3115FCE</t>
  </si>
  <si>
    <t>2059RAK</t>
  </si>
  <si>
    <t>1984XRR</t>
  </si>
  <si>
    <t>1769EXE</t>
  </si>
  <si>
    <t>3014SPS</t>
  </si>
  <si>
    <t>2452FSG</t>
  </si>
  <si>
    <t>2752NSC</t>
  </si>
  <si>
    <t>925GUB</t>
  </si>
  <si>
    <t>2483FUI</t>
  </si>
  <si>
    <t>1144YED</t>
  </si>
  <si>
    <t>1746SDK</t>
  </si>
  <si>
    <t>3455PIX</t>
  </si>
  <si>
    <t>3822NEG</t>
  </si>
  <si>
    <t>05/04/2016</t>
  </si>
  <si>
    <t>admin</t>
  </si>
  <si>
    <t>Texto</t>
  </si>
  <si>
    <t>Numerico</t>
  </si>
  <si>
    <t>ROMANO</t>
  </si>
  <si>
    <t>LOPEZ  MIRANDA  SRL.</t>
  </si>
  <si>
    <t>LUNA</t>
  </si>
  <si>
    <t>POZO</t>
  </si>
  <si>
    <t>MIRANDA</t>
  </si>
  <si>
    <t>MAMANI</t>
  </si>
  <si>
    <t>RAUL MAMANI</t>
  </si>
  <si>
    <t>GOBIERNO AUTONOMO MUNICIPAL DE LA PAZ</t>
  </si>
  <si>
    <t>VARGAS</t>
  </si>
  <si>
    <t>CHOQUE</t>
  </si>
  <si>
    <t>CERRILLO</t>
  </si>
  <si>
    <t>PAREDEZ</t>
  </si>
  <si>
    <t>COLQUE</t>
  </si>
  <si>
    <t>GAMBOA</t>
  </si>
  <si>
    <t>MOLINA</t>
  </si>
  <si>
    <t>LOSANTOS</t>
  </si>
  <si>
    <t>PAJA</t>
  </si>
  <si>
    <t>PASCUAL</t>
  </si>
  <si>
    <t>58-BF-FE-35-64</t>
  </si>
  <si>
    <t>65-3D-F2-45-13</t>
  </si>
  <si>
    <t>75-46-A8-62</t>
  </si>
  <si>
    <t>27-21-D2-E0-EA</t>
  </si>
  <si>
    <t>E7-1A-F2-2D</t>
  </si>
  <si>
    <t>E3-49-A4-A0-B4</t>
  </si>
  <si>
    <t>8D-CF-A0-9C</t>
  </si>
  <si>
    <t>65-42-CA-38</t>
  </si>
  <si>
    <t>9E-FC-CA-6F-28</t>
  </si>
  <si>
    <t>9D-4E-A3-84-57</t>
  </si>
  <si>
    <t>37-1C-C4-E6-B1</t>
  </si>
  <si>
    <t>D5-CC-31-AA-DD</t>
  </si>
  <si>
    <t>46-E7-E4-F9-C4</t>
  </si>
  <si>
    <t>E7-A1-31-4A-5D</t>
  </si>
  <si>
    <t>9C-9F-AF-F4-7F</t>
  </si>
  <si>
    <t>A6-A2-BE-C7-02</t>
  </si>
  <si>
    <t>60-6C-2A-7D-71</t>
  </si>
  <si>
    <t>54-79-E7-98-B5</t>
  </si>
  <si>
    <t>434V</t>
  </si>
  <si>
    <t>PRECIO VALE</t>
  </si>
  <si>
    <t>IMPORTE VALE</t>
  </si>
  <si>
    <t>15/04/2016</t>
  </si>
  <si>
    <t>TIPO INFRAESTRUCTURA RECEPTOR/DESPACHANTE NOID = NO IDENTIFICADO
TK = TANQUE
MN = MANGUERA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</si>
</sst>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49" fontId="3" fillId="5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49" fontId="3" fillId="8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" fontId="3" fillId="3" borderId="0" xfId="0" applyNumberFormat="1" applyFont="1" applyFill="1" applyAlignment="1">
      <alignment horizontal="center"/>
    </xf>
    <xf numFmtId="0" fontId="2" fillId="10" borderId="5" xfId="0" applyFont="1" applyFill="1" applyBorder="1" applyAlignment="1">
      <alignment horizontal="center" vertical="center" wrapText="1"/>
    </xf>
    <xf numFmtId="49" fontId="1" fillId="10" borderId="5" xfId="0" applyNumberFormat="1" applyFont="1" applyFill="1" applyBorder="1" applyAlignment="1">
      <alignment horizontal="center" vertical="center" wrapText="1"/>
    </xf>
    <xf numFmtId="49" fontId="3" fillId="10" borderId="5" xfId="0" applyNumberFormat="1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49" fontId="1" fillId="11" borderId="5" xfId="0" applyNumberFormat="1" applyFont="1" applyFill="1" applyBorder="1" applyAlignment="1">
      <alignment horizontal="center" vertical="center" wrapText="1"/>
    </xf>
    <xf numFmtId="49" fontId="3" fillId="11" borderId="5" xfId="0" applyNumberFormat="1" applyFont="1" applyFill="1" applyBorder="1" applyAlignment="1">
      <alignment horizontal="center" vertical="center" wrapText="1"/>
    </xf>
    <xf numFmtId="1" fontId="3" fillId="11" borderId="5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" fontId="3" fillId="3" borderId="1" xfId="0" applyNumberFormat="1" applyFont="1" applyFill="1" applyBorder="1" applyAlignment="1">
      <alignment horizontal="center"/>
    </xf>
    <xf numFmtId="49" fontId="1" fillId="10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1" fillId="9" borderId="2" xfId="0" applyNumberFormat="1" applyFont="1" applyFill="1" applyBorder="1" applyAlignment="1">
      <alignment horizontal="center" vertical="center" wrapText="1"/>
    </xf>
    <xf numFmtId="49" fontId="1" fillId="9" borderId="3" xfId="0" applyNumberFormat="1" applyFont="1" applyFill="1" applyBorder="1" applyAlignment="1">
      <alignment horizontal="center" vertical="center" wrapText="1"/>
    </xf>
    <xf numFmtId="49" fontId="1" fillId="9" borderId="4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workbookViewId="0">
      <pane xSplit="1" topLeftCell="B1" activePane="topRight" state="frozen"/>
      <selection pane="topRight"/>
    </sheetView>
  </sheetViews>
  <sheetFormatPr baseColWidth="10" defaultColWidth="17.140625" defaultRowHeight="15" x14ac:dyDescent="0.25"/>
  <cols>
    <col min="1" max="1" width="25.5703125" style="1" customWidth="1"/>
    <col min="2" max="2" width="19.140625" style="1" customWidth="1"/>
    <col min="3" max="3" width="27.7109375" style="1" customWidth="1"/>
    <col min="4" max="4" width="29.5703125" style="1" customWidth="1"/>
    <col min="5" max="5" width="19.85546875" style="1" customWidth="1"/>
    <col min="6" max="23" width="17.140625" style="1"/>
    <col min="24" max="24" width="20.42578125" style="1" customWidth="1"/>
    <col min="25" max="27" width="17.140625" style="1"/>
    <col min="28" max="28" width="19.85546875" style="1" customWidth="1"/>
    <col min="29" max="29" width="41" style="1" customWidth="1"/>
    <col min="30" max="30" width="27.42578125" style="1" customWidth="1"/>
    <col min="31" max="31" width="18.5703125" style="1" customWidth="1"/>
    <col min="32" max="16384" width="17.140625" style="1"/>
  </cols>
  <sheetData>
    <row r="1" spans="1:31" s="7" customFormat="1" x14ac:dyDescent="0.25">
      <c r="A1" s="9"/>
      <c r="B1" s="10">
        <v>0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0">
        <v>7</v>
      </c>
      <c r="J1" s="10">
        <v>8</v>
      </c>
      <c r="K1" s="10">
        <v>9</v>
      </c>
      <c r="L1" s="10">
        <v>10</v>
      </c>
      <c r="M1" s="10">
        <v>11</v>
      </c>
      <c r="N1" s="10">
        <v>12</v>
      </c>
      <c r="O1" s="10">
        <v>13</v>
      </c>
      <c r="P1" s="10">
        <v>14</v>
      </c>
      <c r="Q1" s="10">
        <v>15</v>
      </c>
      <c r="R1" s="10">
        <v>16</v>
      </c>
      <c r="S1" s="10">
        <v>17</v>
      </c>
      <c r="T1" s="10">
        <v>18</v>
      </c>
      <c r="U1" s="10">
        <v>19</v>
      </c>
      <c r="V1" s="10">
        <v>20</v>
      </c>
      <c r="W1" s="10">
        <v>21</v>
      </c>
      <c r="X1" s="10">
        <v>22</v>
      </c>
      <c r="Y1" s="10">
        <v>23</v>
      </c>
      <c r="Z1" s="10">
        <v>24</v>
      </c>
      <c r="AA1" s="10">
        <v>25</v>
      </c>
      <c r="AB1" s="10">
        <v>26</v>
      </c>
      <c r="AC1" s="10">
        <v>27</v>
      </c>
      <c r="AD1" s="10">
        <v>28</v>
      </c>
      <c r="AE1" s="10">
        <v>29</v>
      </c>
    </row>
    <row r="2" spans="1:31" ht="25.5" customHeight="1" x14ac:dyDescent="0.25">
      <c r="A2" s="11"/>
      <c r="B2" s="12" t="s">
        <v>99</v>
      </c>
      <c r="C2" s="12" t="s">
        <v>99</v>
      </c>
      <c r="D2" s="12" t="s">
        <v>99</v>
      </c>
      <c r="E2" s="12" t="s">
        <v>99</v>
      </c>
      <c r="F2" s="12" t="s">
        <v>99</v>
      </c>
      <c r="G2" s="12" t="s">
        <v>99</v>
      </c>
      <c r="H2" s="12" t="s">
        <v>99</v>
      </c>
      <c r="I2" s="13" t="s">
        <v>100</v>
      </c>
      <c r="J2" s="12" t="s">
        <v>99</v>
      </c>
      <c r="K2" s="12" t="s">
        <v>99</v>
      </c>
      <c r="L2" s="12" t="s">
        <v>99</v>
      </c>
      <c r="M2" s="13" t="s">
        <v>100</v>
      </c>
      <c r="N2" s="12" t="s">
        <v>99</v>
      </c>
      <c r="O2" s="13" t="s">
        <v>100</v>
      </c>
      <c r="P2" s="13" t="s">
        <v>100</v>
      </c>
      <c r="Q2" s="12" t="s">
        <v>99</v>
      </c>
      <c r="R2" s="13" t="s">
        <v>100</v>
      </c>
      <c r="S2" s="13" t="s">
        <v>100</v>
      </c>
      <c r="T2" s="12" t="s">
        <v>99</v>
      </c>
      <c r="U2" s="13" t="s">
        <v>100</v>
      </c>
      <c r="V2" s="13" t="s">
        <v>100</v>
      </c>
      <c r="W2" s="13" t="s">
        <v>100</v>
      </c>
      <c r="X2" s="13" t="s">
        <v>100</v>
      </c>
      <c r="Y2" s="12" t="s">
        <v>99</v>
      </c>
      <c r="Z2" s="13" t="s">
        <v>100</v>
      </c>
      <c r="AA2" s="13" t="s">
        <v>100</v>
      </c>
      <c r="AB2" s="12" t="s">
        <v>99</v>
      </c>
      <c r="AC2" s="12" t="s">
        <v>99</v>
      </c>
      <c r="AD2" s="12" t="s">
        <v>99</v>
      </c>
      <c r="AE2" s="13" t="s">
        <v>100</v>
      </c>
    </row>
    <row r="3" spans="1:31" ht="121.5" customHeight="1" x14ac:dyDescent="0.25">
      <c r="A3" s="14" t="s">
        <v>13</v>
      </c>
      <c r="B3" s="15" t="s">
        <v>14</v>
      </c>
      <c r="C3" s="16" t="s">
        <v>20</v>
      </c>
      <c r="D3" s="16" t="s">
        <v>71</v>
      </c>
      <c r="E3" s="16" t="s">
        <v>61</v>
      </c>
      <c r="F3" s="16" t="s">
        <v>15</v>
      </c>
      <c r="G3" s="16" t="s">
        <v>3</v>
      </c>
      <c r="H3" s="16" t="s">
        <v>7</v>
      </c>
      <c r="I3" s="16" t="s">
        <v>0</v>
      </c>
      <c r="J3" s="16" t="s">
        <v>12</v>
      </c>
      <c r="K3" s="16" t="s">
        <v>9</v>
      </c>
      <c r="L3" s="16" t="s">
        <v>73</v>
      </c>
      <c r="M3" s="16" t="s">
        <v>5</v>
      </c>
      <c r="N3" s="16" t="s">
        <v>6</v>
      </c>
      <c r="O3" s="16" t="s">
        <v>16</v>
      </c>
      <c r="P3" s="17" t="s">
        <v>17</v>
      </c>
      <c r="Q3" s="16" t="s">
        <v>49</v>
      </c>
      <c r="R3" s="16" t="s">
        <v>1</v>
      </c>
      <c r="S3" s="16" t="s">
        <v>10</v>
      </c>
      <c r="T3" s="16" t="s">
        <v>23</v>
      </c>
      <c r="U3" s="16" t="s">
        <v>1</v>
      </c>
      <c r="V3" s="16" t="s">
        <v>10</v>
      </c>
      <c r="W3" s="16" t="s">
        <v>56</v>
      </c>
      <c r="X3" s="16" t="s">
        <v>57</v>
      </c>
      <c r="Y3" s="16" t="s">
        <v>58</v>
      </c>
      <c r="Z3" s="16" t="s">
        <v>59</v>
      </c>
      <c r="AA3" s="16" t="s">
        <v>60</v>
      </c>
      <c r="AB3" s="16" t="s">
        <v>26</v>
      </c>
      <c r="AC3" s="16" t="s">
        <v>69</v>
      </c>
      <c r="AD3" s="16" t="s">
        <v>70</v>
      </c>
      <c r="AE3" s="16" t="s">
        <v>53</v>
      </c>
    </row>
    <row r="4" spans="1:31" s="4" customFormat="1" ht="18" customHeight="1" x14ac:dyDescent="0.25">
      <c r="A4" s="18"/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  <c r="O4" s="31" t="s">
        <v>50</v>
      </c>
      <c r="P4" s="31"/>
      <c r="Q4" s="31"/>
      <c r="R4" s="31"/>
      <c r="S4" s="31"/>
      <c r="T4" s="28" t="s">
        <v>51</v>
      </c>
      <c r="U4" s="29"/>
      <c r="V4" s="30"/>
      <c r="W4" s="24" t="s">
        <v>52</v>
      </c>
      <c r="X4" s="25"/>
      <c r="Y4" s="25"/>
      <c r="Z4" s="25"/>
      <c r="AA4" s="26"/>
      <c r="AB4" s="6" t="s">
        <v>66</v>
      </c>
      <c r="AC4" s="8" t="s">
        <v>68</v>
      </c>
      <c r="AD4" s="27" t="s">
        <v>54</v>
      </c>
      <c r="AE4" s="27"/>
    </row>
    <row r="5" spans="1:31" x14ac:dyDescent="0.25">
      <c r="A5" s="35" t="s">
        <v>18</v>
      </c>
      <c r="B5" s="3" t="s">
        <v>28</v>
      </c>
      <c r="C5" s="2" t="s">
        <v>32</v>
      </c>
      <c r="D5" s="2" t="s">
        <v>33</v>
      </c>
      <c r="E5" s="2" t="s">
        <v>35</v>
      </c>
      <c r="F5" s="2"/>
      <c r="G5" s="2" t="s">
        <v>4</v>
      </c>
      <c r="H5" s="2" t="s">
        <v>21</v>
      </c>
      <c r="I5" s="2">
        <v>78</v>
      </c>
      <c r="J5" s="2" t="s">
        <v>2</v>
      </c>
      <c r="K5" s="2">
        <v>9568574</v>
      </c>
      <c r="L5" s="2" t="s">
        <v>22</v>
      </c>
      <c r="M5" s="2">
        <v>78996548</v>
      </c>
      <c r="N5" s="2" t="s">
        <v>36</v>
      </c>
      <c r="O5" s="2">
        <v>956</v>
      </c>
      <c r="P5" s="5">
        <v>200100123456</v>
      </c>
      <c r="Q5" s="2" t="s">
        <v>37</v>
      </c>
      <c r="R5" s="2">
        <v>3.74</v>
      </c>
      <c r="S5" s="2">
        <f>I5*R5</f>
        <v>291.72000000000003</v>
      </c>
      <c r="T5" s="2"/>
      <c r="U5" s="2">
        <v>0</v>
      </c>
      <c r="V5" s="2">
        <v>0</v>
      </c>
      <c r="W5" s="2">
        <v>0</v>
      </c>
      <c r="X5" s="2">
        <v>0</v>
      </c>
      <c r="Y5" s="2"/>
      <c r="Z5" s="2">
        <v>0</v>
      </c>
      <c r="AA5" s="2">
        <v>0</v>
      </c>
      <c r="AB5" s="2">
        <v>9576</v>
      </c>
      <c r="AC5" s="2" t="s">
        <v>67</v>
      </c>
      <c r="AD5" s="2" t="s">
        <v>8</v>
      </c>
      <c r="AE5" s="2">
        <v>0</v>
      </c>
    </row>
    <row r="6" spans="1:31" x14ac:dyDescent="0.25">
      <c r="A6" s="35"/>
      <c r="B6" s="3" t="s">
        <v>29</v>
      </c>
      <c r="C6" s="2" t="s">
        <v>32</v>
      </c>
      <c r="D6" s="2" t="s">
        <v>34</v>
      </c>
      <c r="E6" s="2" t="s">
        <v>38</v>
      </c>
      <c r="F6" s="2">
        <v>1</v>
      </c>
      <c r="G6" s="2" t="s">
        <v>4</v>
      </c>
      <c r="H6" s="2" t="s">
        <v>21</v>
      </c>
      <c r="I6" s="2">
        <v>2300</v>
      </c>
      <c r="J6" s="2" t="s">
        <v>2</v>
      </c>
      <c r="K6" s="2">
        <v>9568574</v>
      </c>
      <c r="L6" s="2" t="s">
        <v>39</v>
      </c>
      <c r="M6" s="2">
        <v>6532847</v>
      </c>
      <c r="N6" s="2" t="s">
        <v>40</v>
      </c>
      <c r="O6" s="2">
        <v>10524</v>
      </c>
      <c r="P6" s="5">
        <v>200100123456</v>
      </c>
      <c r="Q6" s="2" t="s">
        <v>41</v>
      </c>
      <c r="R6" s="2">
        <v>3.74</v>
      </c>
      <c r="S6" s="2">
        <f>I6*R6</f>
        <v>8602</v>
      </c>
      <c r="T6" s="2"/>
      <c r="U6" s="2">
        <v>0</v>
      </c>
      <c r="V6" s="2">
        <v>0</v>
      </c>
      <c r="W6" s="2">
        <v>0</v>
      </c>
      <c r="X6" s="2">
        <v>0</v>
      </c>
      <c r="Y6" s="2"/>
      <c r="Z6" s="2">
        <v>0</v>
      </c>
      <c r="AA6" s="2">
        <v>0</v>
      </c>
      <c r="AB6" s="2">
        <v>9678</v>
      </c>
      <c r="AC6" s="2" t="s">
        <v>8</v>
      </c>
      <c r="AD6" s="2" t="s">
        <v>55</v>
      </c>
      <c r="AE6" s="2">
        <v>984555</v>
      </c>
    </row>
    <row r="7" spans="1:31" x14ac:dyDescent="0.25">
      <c r="A7" s="35"/>
      <c r="B7" s="3" t="s">
        <v>30</v>
      </c>
      <c r="C7" s="2" t="s">
        <v>32</v>
      </c>
      <c r="D7" s="2" t="s">
        <v>33</v>
      </c>
      <c r="E7" s="2" t="s">
        <v>42</v>
      </c>
      <c r="F7" s="2"/>
      <c r="G7" s="2" t="s">
        <v>4</v>
      </c>
      <c r="H7" s="2" t="s">
        <v>21</v>
      </c>
      <c r="I7" s="2">
        <v>80</v>
      </c>
      <c r="J7" s="2" t="s">
        <v>2</v>
      </c>
      <c r="K7" s="2">
        <v>9568574</v>
      </c>
      <c r="L7" s="2" t="s">
        <v>43</v>
      </c>
      <c r="M7" s="2">
        <v>6532847</v>
      </c>
      <c r="N7" s="2" t="s">
        <v>40</v>
      </c>
      <c r="O7" s="2">
        <v>10524</v>
      </c>
      <c r="P7" s="5">
        <v>200100123456</v>
      </c>
      <c r="Q7" s="2"/>
      <c r="R7" s="2">
        <v>0</v>
      </c>
      <c r="S7" s="2">
        <v>0</v>
      </c>
      <c r="T7" s="2" t="s">
        <v>72</v>
      </c>
      <c r="U7" s="2">
        <v>3.74</v>
      </c>
      <c r="V7" s="2">
        <v>299.2</v>
      </c>
      <c r="W7" s="2">
        <v>0</v>
      </c>
      <c r="X7" s="2">
        <v>0</v>
      </c>
      <c r="Y7" s="2"/>
      <c r="Z7" s="2">
        <v>0</v>
      </c>
      <c r="AA7" s="2">
        <v>0</v>
      </c>
      <c r="AB7" s="2">
        <v>9680</v>
      </c>
      <c r="AC7" s="2" t="s">
        <v>8</v>
      </c>
      <c r="AD7" s="2" t="s">
        <v>8</v>
      </c>
      <c r="AE7" s="2">
        <v>0</v>
      </c>
    </row>
    <row r="8" spans="1:31" x14ac:dyDescent="0.25">
      <c r="A8" s="35"/>
      <c r="B8" s="3" t="s">
        <v>30</v>
      </c>
      <c r="C8" s="2" t="s">
        <v>32</v>
      </c>
      <c r="D8" s="2" t="s">
        <v>33</v>
      </c>
      <c r="E8" s="2" t="s">
        <v>74</v>
      </c>
      <c r="F8" s="2"/>
      <c r="G8" s="2" t="s">
        <v>4</v>
      </c>
      <c r="H8" s="2" t="s">
        <v>21</v>
      </c>
      <c r="I8" s="2">
        <v>30</v>
      </c>
      <c r="J8" s="2" t="s">
        <v>2</v>
      </c>
      <c r="K8" s="2">
        <v>4353534</v>
      </c>
      <c r="L8" s="2" t="s">
        <v>43</v>
      </c>
      <c r="M8" s="2">
        <v>757564545</v>
      </c>
      <c r="N8" s="2" t="s">
        <v>75</v>
      </c>
      <c r="O8" s="2">
        <v>10552</v>
      </c>
      <c r="P8" s="5">
        <v>200100123456</v>
      </c>
      <c r="Q8" s="2" t="s">
        <v>76</v>
      </c>
      <c r="R8" s="2">
        <v>3.74</v>
      </c>
      <c r="S8" s="2">
        <v>112.2</v>
      </c>
      <c r="T8" s="2">
        <v>53423</v>
      </c>
      <c r="U8" s="2">
        <v>0</v>
      </c>
      <c r="V8" s="2">
        <v>0</v>
      </c>
      <c r="W8" s="2">
        <v>0</v>
      </c>
      <c r="X8" s="2">
        <v>0</v>
      </c>
      <c r="Y8" s="2"/>
      <c r="Z8" s="2">
        <v>0</v>
      </c>
      <c r="AA8" s="2">
        <v>0</v>
      </c>
      <c r="AB8" s="2">
        <v>788</v>
      </c>
      <c r="AC8" s="2" t="s">
        <v>8</v>
      </c>
      <c r="AD8" s="2" t="s">
        <v>8</v>
      </c>
      <c r="AE8" s="2">
        <v>0</v>
      </c>
    </row>
    <row r="9" spans="1:31" x14ac:dyDescent="0.25">
      <c r="A9" s="35"/>
      <c r="B9" s="3" t="s">
        <v>62</v>
      </c>
      <c r="C9" s="2" t="s">
        <v>32</v>
      </c>
      <c r="D9" s="2" t="s">
        <v>33</v>
      </c>
      <c r="E9" s="2" t="s">
        <v>63</v>
      </c>
      <c r="F9" s="2"/>
      <c r="G9" s="2" t="s">
        <v>4</v>
      </c>
      <c r="H9" s="2" t="s">
        <v>21</v>
      </c>
      <c r="I9" s="2">
        <v>20</v>
      </c>
      <c r="J9" s="2" t="s">
        <v>2</v>
      </c>
      <c r="K9" s="2">
        <v>7895465</v>
      </c>
      <c r="L9" s="2" t="s">
        <v>22</v>
      </c>
      <c r="M9" s="2">
        <v>34664564</v>
      </c>
      <c r="N9" s="2" t="s">
        <v>64</v>
      </c>
      <c r="O9" s="2">
        <v>10559</v>
      </c>
      <c r="P9" s="5">
        <v>200100123456</v>
      </c>
      <c r="Q9" s="2" t="s">
        <v>65</v>
      </c>
      <c r="R9" s="2">
        <v>3.74</v>
      </c>
      <c r="S9" s="2">
        <v>74.8</v>
      </c>
      <c r="T9" s="2"/>
      <c r="U9" s="2">
        <v>0</v>
      </c>
      <c r="V9" s="2">
        <v>0</v>
      </c>
      <c r="W9" s="2">
        <v>0</v>
      </c>
      <c r="X9" s="2">
        <v>0</v>
      </c>
      <c r="Y9" s="2"/>
      <c r="Z9" s="2">
        <v>0</v>
      </c>
      <c r="AA9" s="2">
        <v>0</v>
      </c>
      <c r="AB9" s="2">
        <v>65</v>
      </c>
      <c r="AC9" s="2" t="s">
        <v>8</v>
      </c>
      <c r="AD9" s="2" t="s">
        <v>8</v>
      </c>
      <c r="AE9" s="2">
        <v>0</v>
      </c>
    </row>
    <row r="10" spans="1:31" x14ac:dyDescent="0.25">
      <c r="A10" s="35"/>
      <c r="B10" s="3" t="s">
        <v>31</v>
      </c>
      <c r="C10" s="2" t="s">
        <v>32</v>
      </c>
      <c r="D10" s="2" t="s">
        <v>33</v>
      </c>
      <c r="E10" s="2" t="s">
        <v>44</v>
      </c>
      <c r="F10" s="2"/>
      <c r="G10" s="2" t="s">
        <v>45</v>
      </c>
      <c r="H10" s="2" t="s">
        <v>21</v>
      </c>
      <c r="I10" s="2">
        <v>200</v>
      </c>
      <c r="J10" s="2" t="s">
        <v>2</v>
      </c>
      <c r="K10" s="2">
        <v>9568574</v>
      </c>
      <c r="L10" s="2" t="s">
        <v>22</v>
      </c>
      <c r="M10" s="2">
        <v>45468986</v>
      </c>
      <c r="N10" s="2" t="s">
        <v>46</v>
      </c>
      <c r="O10" s="2">
        <v>10525</v>
      </c>
      <c r="P10" s="5">
        <v>200100123456</v>
      </c>
      <c r="Q10" s="2" t="s">
        <v>47</v>
      </c>
      <c r="R10" s="2">
        <v>3.74</v>
      </c>
      <c r="S10" s="2">
        <f>I10*R10</f>
        <v>748</v>
      </c>
      <c r="T10" s="2"/>
      <c r="U10" s="2">
        <v>0</v>
      </c>
      <c r="V10" s="2">
        <v>0</v>
      </c>
      <c r="W10" s="2">
        <v>987</v>
      </c>
      <c r="X10" s="2">
        <v>9001025455</v>
      </c>
      <c r="Y10" s="2" t="s">
        <v>48</v>
      </c>
      <c r="Z10" s="2">
        <v>4.1500000000000004</v>
      </c>
      <c r="AA10" s="2">
        <f>Z10*I10</f>
        <v>830.00000000000011</v>
      </c>
      <c r="AB10" s="2">
        <v>9690</v>
      </c>
      <c r="AC10" s="2" t="s">
        <v>8</v>
      </c>
      <c r="AD10" s="2" t="s">
        <v>8</v>
      </c>
      <c r="AE10" s="2">
        <v>0</v>
      </c>
    </row>
    <row r="11" spans="1:31" x14ac:dyDescent="0.25">
      <c r="A11" s="36" t="s">
        <v>19</v>
      </c>
      <c r="B11" s="3" t="s">
        <v>27</v>
      </c>
      <c r="C11" s="2" t="s">
        <v>11</v>
      </c>
      <c r="D11" s="2" t="s">
        <v>24</v>
      </c>
      <c r="E11" s="2"/>
      <c r="F11" s="2"/>
      <c r="G11" s="2" t="s">
        <v>4</v>
      </c>
      <c r="H11" s="2" t="s">
        <v>25</v>
      </c>
      <c r="I11" s="2">
        <v>50</v>
      </c>
      <c r="J11" s="2" t="s">
        <v>2</v>
      </c>
      <c r="K11" s="2">
        <v>46464656</v>
      </c>
      <c r="L11" s="2" t="s">
        <v>22</v>
      </c>
      <c r="M11" s="2">
        <v>0</v>
      </c>
      <c r="N11" s="2"/>
      <c r="O11" s="2">
        <v>0</v>
      </c>
      <c r="P11" s="5">
        <v>0</v>
      </c>
      <c r="Q11" s="2"/>
      <c r="R11" s="2">
        <v>0</v>
      </c>
      <c r="S11" s="2">
        <v>0</v>
      </c>
      <c r="T11" s="2"/>
      <c r="U11" s="2">
        <v>0</v>
      </c>
      <c r="V11" s="2">
        <v>0</v>
      </c>
      <c r="W11" s="2">
        <v>0</v>
      </c>
      <c r="X11" s="2">
        <v>0</v>
      </c>
      <c r="Y11" s="2"/>
      <c r="Z11" s="2">
        <v>0</v>
      </c>
      <c r="AA11" s="2">
        <v>0</v>
      </c>
      <c r="AB11" s="2">
        <v>9700</v>
      </c>
      <c r="AC11" s="2" t="s">
        <v>8</v>
      </c>
      <c r="AD11" s="2" t="s">
        <v>8</v>
      </c>
      <c r="AE11" s="2">
        <v>0</v>
      </c>
    </row>
  </sheetData>
  <mergeCells count="6">
    <mergeCell ref="W4:AA4"/>
    <mergeCell ref="AD4:AE4"/>
    <mergeCell ref="A5:A10"/>
    <mergeCell ref="T4:V4"/>
    <mergeCell ref="O4:S4"/>
    <mergeCell ref="B4:N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"/>
  <sheetViews>
    <sheetView topLeftCell="O1" workbookViewId="0">
      <selection activeCell="X2" sqref="X2"/>
    </sheetView>
  </sheetViews>
  <sheetFormatPr baseColWidth="10" defaultColWidth="21" defaultRowHeight="15" x14ac:dyDescent="0.25"/>
  <cols>
    <col min="2" max="2" width="25.7109375" customWidth="1"/>
    <col min="28" max="28" width="34" customWidth="1"/>
    <col min="29" max="29" width="27.5703125" customWidth="1"/>
  </cols>
  <sheetData>
    <row r="1" spans="1:30" s="7" customFormat="1" x14ac:dyDescent="0.25">
      <c r="A1" s="20">
        <v>0</v>
      </c>
      <c r="B1" s="20">
        <v>1</v>
      </c>
      <c r="C1" s="20">
        <v>2</v>
      </c>
      <c r="D1" s="20">
        <v>3</v>
      </c>
      <c r="E1" s="20">
        <v>4</v>
      </c>
      <c r="F1" s="20">
        <v>5</v>
      </c>
      <c r="G1" s="20">
        <v>6</v>
      </c>
      <c r="H1" s="20">
        <v>7</v>
      </c>
      <c r="I1" s="20">
        <v>8</v>
      </c>
      <c r="J1" s="20">
        <v>9</v>
      </c>
      <c r="K1" s="20">
        <v>10</v>
      </c>
      <c r="L1" s="20">
        <v>11</v>
      </c>
      <c r="M1" s="20">
        <v>12</v>
      </c>
      <c r="N1" s="20">
        <v>13</v>
      </c>
      <c r="O1" s="20">
        <v>14</v>
      </c>
      <c r="P1" s="20">
        <v>15</v>
      </c>
      <c r="Q1" s="20">
        <v>16</v>
      </c>
      <c r="R1" s="20">
        <v>17</v>
      </c>
      <c r="S1" s="20">
        <v>18</v>
      </c>
      <c r="T1" s="20">
        <v>19</v>
      </c>
      <c r="U1" s="20">
        <v>20</v>
      </c>
      <c r="V1" s="20">
        <v>21</v>
      </c>
      <c r="W1" s="20">
        <v>22</v>
      </c>
      <c r="X1" s="20">
        <v>23</v>
      </c>
      <c r="Y1" s="20">
        <v>24</v>
      </c>
      <c r="Z1" s="20">
        <v>25</v>
      </c>
      <c r="AA1" s="20">
        <v>26</v>
      </c>
      <c r="AB1" s="20">
        <v>27</v>
      </c>
      <c r="AC1" s="20">
        <v>28</v>
      </c>
      <c r="AD1" s="20">
        <v>29</v>
      </c>
    </row>
    <row r="2" spans="1:30" s="1" customFormat="1" ht="108.75" customHeight="1" x14ac:dyDescent="0.25">
      <c r="A2" s="21" t="s">
        <v>14</v>
      </c>
      <c r="B2" s="22" t="s">
        <v>141</v>
      </c>
      <c r="C2" s="22" t="s">
        <v>71</v>
      </c>
      <c r="D2" s="22" t="s">
        <v>61</v>
      </c>
      <c r="E2" s="22" t="s">
        <v>15</v>
      </c>
      <c r="F2" s="22" t="s">
        <v>3</v>
      </c>
      <c r="G2" s="22" t="s">
        <v>7</v>
      </c>
      <c r="H2" s="22" t="s">
        <v>0</v>
      </c>
      <c r="I2" s="22" t="s">
        <v>12</v>
      </c>
      <c r="J2" s="22" t="s">
        <v>9</v>
      </c>
      <c r="K2" s="22" t="s">
        <v>73</v>
      </c>
      <c r="L2" s="22" t="s">
        <v>5</v>
      </c>
      <c r="M2" s="22" t="s">
        <v>6</v>
      </c>
      <c r="N2" s="22" t="s">
        <v>16</v>
      </c>
      <c r="O2" s="23" t="s">
        <v>17</v>
      </c>
      <c r="P2" s="22" t="s">
        <v>49</v>
      </c>
      <c r="Q2" s="22" t="s">
        <v>1</v>
      </c>
      <c r="R2" s="22" t="s">
        <v>10</v>
      </c>
      <c r="S2" s="22" t="s">
        <v>23</v>
      </c>
      <c r="T2" s="22" t="s">
        <v>138</v>
      </c>
      <c r="U2" s="22" t="s">
        <v>139</v>
      </c>
      <c r="V2" s="22" t="s">
        <v>56</v>
      </c>
      <c r="W2" s="22" t="s">
        <v>57</v>
      </c>
      <c r="X2" s="22" t="s">
        <v>58</v>
      </c>
      <c r="Y2" s="22" t="s">
        <v>59</v>
      </c>
      <c r="Z2" s="22" t="s">
        <v>60</v>
      </c>
      <c r="AA2" s="22" t="s">
        <v>26</v>
      </c>
      <c r="AB2" s="22" t="s">
        <v>69</v>
      </c>
      <c r="AC2" s="22" t="s">
        <v>70</v>
      </c>
      <c r="AD2" s="22" t="s">
        <v>53</v>
      </c>
    </row>
    <row r="3" spans="1:30" x14ac:dyDescent="0.25">
      <c r="A3" s="19">
        <v>42461</v>
      </c>
      <c r="B3" s="2" t="s">
        <v>8</v>
      </c>
      <c r="C3" s="2" t="s">
        <v>8</v>
      </c>
      <c r="D3" s="2" t="s">
        <v>77</v>
      </c>
      <c r="E3" s="2"/>
      <c r="F3" s="2" t="s">
        <v>4</v>
      </c>
      <c r="G3" s="2" t="s">
        <v>21</v>
      </c>
      <c r="H3" s="2">
        <v>8.02</v>
      </c>
      <c r="I3" s="2" t="s">
        <v>2</v>
      </c>
      <c r="J3" s="2">
        <v>74834738</v>
      </c>
      <c r="K3" s="2" t="s">
        <v>22</v>
      </c>
      <c r="L3" s="5">
        <v>2055271</v>
      </c>
      <c r="M3" s="2" t="s">
        <v>101</v>
      </c>
      <c r="N3" s="2">
        <v>181700</v>
      </c>
      <c r="O3" s="5">
        <v>2904001480739</v>
      </c>
      <c r="P3" s="2" t="s">
        <v>119</v>
      </c>
      <c r="Q3" s="2">
        <v>3.74</v>
      </c>
      <c r="R3" s="2">
        <v>30</v>
      </c>
      <c r="S3" s="2"/>
      <c r="T3" s="2">
        <v>0</v>
      </c>
      <c r="U3" s="2">
        <v>0</v>
      </c>
      <c r="V3" s="2">
        <v>0</v>
      </c>
      <c r="W3" s="5">
        <v>0</v>
      </c>
      <c r="X3" s="2"/>
      <c r="Y3" s="2">
        <v>0</v>
      </c>
      <c r="Z3" s="2">
        <v>0</v>
      </c>
      <c r="AA3" s="2">
        <v>56</v>
      </c>
      <c r="AB3" s="5" t="s">
        <v>8</v>
      </c>
      <c r="AC3" s="2" t="s">
        <v>8</v>
      </c>
      <c r="AD3" s="2">
        <v>0</v>
      </c>
    </row>
    <row r="4" spans="1:30" x14ac:dyDescent="0.25">
      <c r="A4" s="19">
        <v>42461</v>
      </c>
      <c r="B4" s="2" t="s">
        <v>8</v>
      </c>
      <c r="C4" s="2" t="s">
        <v>8</v>
      </c>
      <c r="D4" s="2" t="s">
        <v>78</v>
      </c>
      <c r="E4" s="2"/>
      <c r="F4" s="2" t="s">
        <v>4</v>
      </c>
      <c r="G4" s="2" t="s">
        <v>21</v>
      </c>
      <c r="H4" s="2">
        <v>6.68</v>
      </c>
      <c r="I4" s="2" t="s">
        <v>2</v>
      </c>
      <c r="J4" s="2">
        <v>74834738</v>
      </c>
      <c r="K4" s="2" t="s">
        <v>22</v>
      </c>
      <c r="L4" s="5">
        <v>137945027</v>
      </c>
      <c r="M4" s="2" t="s">
        <v>102</v>
      </c>
      <c r="N4" s="2">
        <v>181701</v>
      </c>
      <c r="O4" s="5">
        <v>2904001480739</v>
      </c>
      <c r="P4" s="2" t="s">
        <v>120</v>
      </c>
      <c r="Q4" s="2">
        <v>3.74</v>
      </c>
      <c r="R4" s="2">
        <v>25</v>
      </c>
      <c r="S4" s="2"/>
      <c r="T4" s="2">
        <v>0</v>
      </c>
      <c r="U4" s="2">
        <v>0</v>
      </c>
      <c r="V4" s="2">
        <v>0</v>
      </c>
      <c r="W4" s="5">
        <v>0</v>
      </c>
      <c r="X4" s="2"/>
      <c r="Y4" s="2">
        <v>0</v>
      </c>
      <c r="Z4" s="2">
        <v>0</v>
      </c>
      <c r="AA4" s="2">
        <v>57</v>
      </c>
      <c r="AB4" s="5" t="s">
        <v>8</v>
      </c>
      <c r="AC4" s="2" t="s">
        <v>8</v>
      </c>
      <c r="AD4" s="2">
        <v>0</v>
      </c>
    </row>
    <row r="5" spans="1:30" x14ac:dyDescent="0.25">
      <c r="A5" s="19">
        <v>42461</v>
      </c>
      <c r="B5" s="2" t="s">
        <v>8</v>
      </c>
      <c r="C5" s="2" t="s">
        <v>8</v>
      </c>
      <c r="D5" s="2" t="s">
        <v>79</v>
      </c>
      <c r="E5" s="2"/>
      <c r="F5" s="2" t="s">
        <v>4</v>
      </c>
      <c r="G5" s="2" t="s">
        <v>21</v>
      </c>
      <c r="H5" s="2">
        <v>19.38</v>
      </c>
      <c r="I5" s="2" t="s">
        <v>2</v>
      </c>
      <c r="J5" s="2">
        <v>74834738</v>
      </c>
      <c r="K5" s="2" t="s">
        <v>22</v>
      </c>
      <c r="L5" s="5">
        <v>6191673</v>
      </c>
      <c r="M5" s="2" t="s">
        <v>103</v>
      </c>
      <c r="N5" s="2">
        <v>181702</v>
      </c>
      <c r="O5" s="5">
        <v>2904001480739</v>
      </c>
      <c r="P5" s="2" t="s">
        <v>121</v>
      </c>
      <c r="Q5" s="2">
        <v>3.74</v>
      </c>
      <c r="R5" s="2">
        <v>72.48</v>
      </c>
      <c r="S5" s="2"/>
      <c r="T5" s="2">
        <v>0</v>
      </c>
      <c r="U5" s="2">
        <v>0</v>
      </c>
      <c r="V5" s="2">
        <v>0</v>
      </c>
      <c r="W5" s="5">
        <v>0</v>
      </c>
      <c r="X5" s="2"/>
      <c r="Y5" s="2">
        <v>0</v>
      </c>
      <c r="Z5" s="2">
        <v>0</v>
      </c>
      <c r="AA5" s="2">
        <v>58</v>
      </c>
      <c r="AB5" s="5" t="s">
        <v>8</v>
      </c>
      <c r="AC5" s="2" t="s">
        <v>8</v>
      </c>
      <c r="AD5" s="2">
        <v>0</v>
      </c>
    </row>
    <row r="6" spans="1:30" x14ac:dyDescent="0.25">
      <c r="A6" s="19">
        <v>42461</v>
      </c>
      <c r="B6" s="2" t="s">
        <v>8</v>
      </c>
      <c r="C6" s="2" t="s">
        <v>8</v>
      </c>
      <c r="D6" s="2" t="s">
        <v>80</v>
      </c>
      <c r="E6" s="2"/>
      <c r="F6" s="2" t="s">
        <v>4</v>
      </c>
      <c r="G6" s="2" t="s">
        <v>21</v>
      </c>
      <c r="H6" s="2">
        <v>40.11</v>
      </c>
      <c r="I6" s="2" t="s">
        <v>2</v>
      </c>
      <c r="J6" s="2">
        <v>74834738</v>
      </c>
      <c r="K6" s="2" t="s">
        <v>22</v>
      </c>
      <c r="L6" s="5">
        <v>2384769013</v>
      </c>
      <c r="M6" s="2" t="s">
        <v>104</v>
      </c>
      <c r="N6" s="2">
        <v>181703</v>
      </c>
      <c r="O6" s="5">
        <v>2904001480739</v>
      </c>
      <c r="P6" s="2" t="s">
        <v>122</v>
      </c>
      <c r="Q6" s="2">
        <v>3.74</v>
      </c>
      <c r="R6" s="2">
        <v>150</v>
      </c>
      <c r="S6" s="2"/>
      <c r="T6" s="2">
        <v>0</v>
      </c>
      <c r="U6" s="2">
        <v>0</v>
      </c>
      <c r="V6" s="2">
        <v>0</v>
      </c>
      <c r="W6" s="5">
        <v>0</v>
      </c>
      <c r="X6" s="2"/>
      <c r="Y6" s="2">
        <v>0</v>
      </c>
      <c r="Z6" s="2">
        <v>0</v>
      </c>
      <c r="AA6" s="2">
        <v>59</v>
      </c>
      <c r="AB6" s="5" t="s">
        <v>8</v>
      </c>
      <c r="AC6" s="2" t="s">
        <v>8</v>
      </c>
      <c r="AD6" s="2">
        <v>0</v>
      </c>
    </row>
    <row r="7" spans="1:30" x14ac:dyDescent="0.25">
      <c r="A7" s="19">
        <v>42461</v>
      </c>
      <c r="B7" s="2" t="s">
        <v>8</v>
      </c>
      <c r="C7" s="2" t="s">
        <v>8</v>
      </c>
      <c r="D7" s="2" t="s">
        <v>81</v>
      </c>
      <c r="E7" s="2"/>
      <c r="F7" s="2" t="s">
        <v>4</v>
      </c>
      <c r="G7" s="2" t="s">
        <v>21</v>
      </c>
      <c r="H7" s="2">
        <v>13.37</v>
      </c>
      <c r="I7" s="2" t="s">
        <v>2</v>
      </c>
      <c r="J7" s="2">
        <v>74834738</v>
      </c>
      <c r="K7" s="2" t="s">
        <v>22</v>
      </c>
      <c r="L7" s="5">
        <v>2288486013</v>
      </c>
      <c r="M7" s="2" t="s">
        <v>105</v>
      </c>
      <c r="N7" s="2">
        <v>181704</v>
      </c>
      <c r="O7" s="5">
        <v>2904001480739</v>
      </c>
      <c r="P7" s="2" t="s">
        <v>123</v>
      </c>
      <c r="Q7" s="2">
        <v>3.74</v>
      </c>
      <c r="R7" s="2">
        <v>50</v>
      </c>
      <c r="S7" s="2"/>
      <c r="T7" s="2">
        <v>0</v>
      </c>
      <c r="U7" s="2">
        <v>0</v>
      </c>
      <c r="V7" s="2">
        <v>0</v>
      </c>
      <c r="W7" s="5">
        <v>0</v>
      </c>
      <c r="X7" s="2"/>
      <c r="Y7" s="2">
        <v>0</v>
      </c>
      <c r="Z7" s="2">
        <v>0</v>
      </c>
      <c r="AA7" s="2">
        <v>60</v>
      </c>
      <c r="AB7" s="5" t="s">
        <v>8</v>
      </c>
      <c r="AC7" s="2" t="s">
        <v>8</v>
      </c>
      <c r="AD7" s="2">
        <v>0</v>
      </c>
    </row>
    <row r="8" spans="1:30" x14ac:dyDescent="0.25">
      <c r="A8" s="19">
        <v>42461</v>
      </c>
      <c r="B8" s="2" t="s">
        <v>8</v>
      </c>
      <c r="C8" s="2" t="s">
        <v>8</v>
      </c>
      <c r="D8" s="2" t="s">
        <v>82</v>
      </c>
      <c r="E8" s="2"/>
      <c r="F8" s="2" t="s">
        <v>4</v>
      </c>
      <c r="G8" s="2" t="s">
        <v>21</v>
      </c>
      <c r="H8" s="2">
        <v>8.02</v>
      </c>
      <c r="I8" s="2" t="s">
        <v>2</v>
      </c>
      <c r="J8" s="2">
        <v>74834738</v>
      </c>
      <c r="K8" s="2" t="s">
        <v>22</v>
      </c>
      <c r="L8" s="5">
        <v>6082438</v>
      </c>
      <c r="M8" s="2" t="s">
        <v>106</v>
      </c>
      <c r="N8" s="2">
        <v>181745</v>
      </c>
      <c r="O8" s="5">
        <v>2904001480739</v>
      </c>
      <c r="P8" s="2" t="s">
        <v>124</v>
      </c>
      <c r="Q8" s="2">
        <v>3.74</v>
      </c>
      <c r="R8" s="2">
        <v>30</v>
      </c>
      <c r="S8" s="2"/>
      <c r="T8" s="2">
        <v>0</v>
      </c>
      <c r="U8" s="2">
        <v>0</v>
      </c>
      <c r="V8" s="2">
        <v>0</v>
      </c>
      <c r="W8" s="5">
        <v>0</v>
      </c>
      <c r="X8" s="2"/>
      <c r="Y8" s="2">
        <v>0</v>
      </c>
      <c r="Z8" s="2">
        <v>0</v>
      </c>
      <c r="AA8" s="2">
        <v>102</v>
      </c>
      <c r="AB8" s="5" t="s">
        <v>8</v>
      </c>
      <c r="AC8" s="2" t="s">
        <v>8</v>
      </c>
      <c r="AD8" s="2">
        <v>0</v>
      </c>
    </row>
    <row r="9" spans="1:30" x14ac:dyDescent="0.25">
      <c r="A9" s="19">
        <v>42461</v>
      </c>
      <c r="B9" s="2" t="s">
        <v>8</v>
      </c>
      <c r="C9" s="2" t="s">
        <v>8</v>
      </c>
      <c r="D9" s="2" t="s">
        <v>83</v>
      </c>
      <c r="E9" s="2"/>
      <c r="F9" s="2" t="s">
        <v>4</v>
      </c>
      <c r="G9" s="2" t="s">
        <v>25</v>
      </c>
      <c r="H9" s="2">
        <v>107.53</v>
      </c>
      <c r="I9" s="2" t="s">
        <v>2</v>
      </c>
      <c r="J9" s="2">
        <v>74834738</v>
      </c>
      <c r="K9" s="2" t="s">
        <v>22</v>
      </c>
      <c r="L9" s="5">
        <v>5997156018</v>
      </c>
      <c r="M9" s="2" t="s">
        <v>107</v>
      </c>
      <c r="N9" s="2">
        <v>181746</v>
      </c>
      <c r="O9" s="5">
        <v>2904001480739</v>
      </c>
      <c r="P9" s="2" t="s">
        <v>125</v>
      </c>
      <c r="Q9" s="2">
        <v>3.72</v>
      </c>
      <c r="R9" s="2">
        <v>400</v>
      </c>
      <c r="S9" s="2"/>
      <c r="T9" s="2">
        <v>0</v>
      </c>
      <c r="U9" s="2">
        <v>0</v>
      </c>
      <c r="V9" s="2">
        <v>0</v>
      </c>
      <c r="W9" s="5">
        <v>0</v>
      </c>
      <c r="X9" s="2"/>
      <c r="Y9" s="2">
        <v>0</v>
      </c>
      <c r="Z9" s="2">
        <v>0</v>
      </c>
      <c r="AA9" s="2">
        <v>103</v>
      </c>
      <c r="AB9" s="5" t="s">
        <v>8</v>
      </c>
      <c r="AC9" s="2" t="s">
        <v>8</v>
      </c>
      <c r="AD9" s="2">
        <v>0</v>
      </c>
    </row>
    <row r="10" spans="1:30" x14ac:dyDescent="0.25">
      <c r="A10" s="19">
        <v>42461</v>
      </c>
      <c r="B10" s="2" t="s">
        <v>8</v>
      </c>
      <c r="C10" s="2" t="s">
        <v>8</v>
      </c>
      <c r="D10" s="2" t="s">
        <v>84</v>
      </c>
      <c r="E10" s="2"/>
      <c r="F10" s="2" t="s">
        <v>4</v>
      </c>
      <c r="G10" s="2" t="s">
        <v>25</v>
      </c>
      <c r="H10" s="2">
        <v>217.28</v>
      </c>
      <c r="I10" s="2" t="s">
        <v>2</v>
      </c>
      <c r="J10" s="2">
        <v>74834738</v>
      </c>
      <c r="K10" s="2" t="s">
        <v>39</v>
      </c>
      <c r="L10" s="5">
        <v>1029241022</v>
      </c>
      <c r="M10" s="2" t="s">
        <v>108</v>
      </c>
      <c r="N10" s="2">
        <v>181747</v>
      </c>
      <c r="O10" s="5">
        <v>2904001480739</v>
      </c>
      <c r="P10" s="2" t="s">
        <v>126</v>
      </c>
      <c r="Q10" s="2">
        <v>3.72</v>
      </c>
      <c r="R10" s="2">
        <v>808.28</v>
      </c>
      <c r="S10" s="2"/>
      <c r="T10" s="2">
        <v>0</v>
      </c>
      <c r="U10" s="2">
        <v>0</v>
      </c>
      <c r="V10" s="2">
        <v>0</v>
      </c>
      <c r="W10" s="5">
        <v>0</v>
      </c>
      <c r="X10" s="2"/>
      <c r="Y10" s="2">
        <v>0</v>
      </c>
      <c r="Z10" s="2">
        <v>0</v>
      </c>
      <c r="AA10" s="2">
        <v>104</v>
      </c>
      <c r="AB10" s="5" t="s">
        <v>8</v>
      </c>
      <c r="AC10" s="2" t="s">
        <v>8</v>
      </c>
      <c r="AD10" s="2">
        <v>0</v>
      </c>
    </row>
    <row r="11" spans="1:30" x14ac:dyDescent="0.25">
      <c r="A11" s="19">
        <v>42461</v>
      </c>
      <c r="B11" s="2" t="s">
        <v>8</v>
      </c>
      <c r="C11" s="2" t="s">
        <v>8</v>
      </c>
      <c r="D11" s="2" t="s">
        <v>85</v>
      </c>
      <c r="E11" s="2"/>
      <c r="F11" s="2" t="s">
        <v>4</v>
      </c>
      <c r="G11" s="2" t="s">
        <v>25</v>
      </c>
      <c r="H11" s="2">
        <v>20</v>
      </c>
      <c r="I11" s="2" t="s">
        <v>2</v>
      </c>
      <c r="J11" s="2">
        <v>74834738</v>
      </c>
      <c r="K11" s="2" t="s">
        <v>43</v>
      </c>
      <c r="L11" s="5">
        <v>1029241022</v>
      </c>
      <c r="M11" s="2" t="s">
        <v>108</v>
      </c>
      <c r="N11" s="2">
        <v>181747</v>
      </c>
      <c r="O11" s="5">
        <v>2904001480739</v>
      </c>
      <c r="P11" s="2"/>
      <c r="Q11" s="2">
        <v>0</v>
      </c>
      <c r="R11" s="2">
        <v>0</v>
      </c>
      <c r="S11" s="2" t="s">
        <v>137</v>
      </c>
      <c r="T11" s="2">
        <v>3.72</v>
      </c>
      <c r="U11" s="2">
        <v>74.400000000000006</v>
      </c>
      <c r="V11" s="2">
        <v>0</v>
      </c>
      <c r="W11" s="5">
        <v>0</v>
      </c>
      <c r="X11" s="2"/>
      <c r="Y11" s="2">
        <v>0</v>
      </c>
      <c r="Z11" s="2">
        <v>0</v>
      </c>
      <c r="AA11" s="2">
        <v>105</v>
      </c>
      <c r="AB11" s="5" t="s">
        <v>8</v>
      </c>
      <c r="AC11" s="2" t="s">
        <v>8</v>
      </c>
      <c r="AD11" s="2">
        <v>0</v>
      </c>
    </row>
    <row r="12" spans="1:30" x14ac:dyDescent="0.25">
      <c r="A12" s="19">
        <v>42461</v>
      </c>
      <c r="B12" s="2" t="s">
        <v>8</v>
      </c>
      <c r="C12" s="2" t="s">
        <v>8</v>
      </c>
      <c r="D12" s="2" t="s">
        <v>86</v>
      </c>
      <c r="E12" s="2"/>
      <c r="F12" s="2" t="s">
        <v>4</v>
      </c>
      <c r="G12" s="2" t="s">
        <v>21</v>
      </c>
      <c r="H12" s="2">
        <v>13.37</v>
      </c>
      <c r="I12" s="2" t="s">
        <v>2</v>
      </c>
      <c r="J12" s="2">
        <v>74834738</v>
      </c>
      <c r="K12" s="2" t="s">
        <v>22</v>
      </c>
      <c r="L12" s="5">
        <v>4853028</v>
      </c>
      <c r="M12" s="2" t="s">
        <v>109</v>
      </c>
      <c r="N12" s="2">
        <v>181748</v>
      </c>
      <c r="O12" s="5">
        <v>2904001480739</v>
      </c>
      <c r="P12" s="2" t="s">
        <v>127</v>
      </c>
      <c r="Q12" s="2">
        <v>3.74</v>
      </c>
      <c r="R12" s="2">
        <v>50</v>
      </c>
      <c r="S12" s="2"/>
      <c r="T12" s="2">
        <v>0</v>
      </c>
      <c r="U12" s="2">
        <v>0</v>
      </c>
      <c r="V12" s="2">
        <v>0</v>
      </c>
      <c r="W12" s="5">
        <v>0</v>
      </c>
      <c r="X12" s="2"/>
      <c r="Y12" s="2">
        <v>0</v>
      </c>
      <c r="Z12" s="2">
        <v>0</v>
      </c>
      <c r="AA12" s="2">
        <v>106</v>
      </c>
      <c r="AB12" s="5" t="s">
        <v>8</v>
      </c>
      <c r="AC12" s="2" t="s">
        <v>8</v>
      </c>
      <c r="AD12" s="2">
        <v>0</v>
      </c>
    </row>
    <row r="13" spans="1:30" x14ac:dyDescent="0.25">
      <c r="A13" s="19">
        <v>42461</v>
      </c>
      <c r="B13" s="2" t="s">
        <v>8</v>
      </c>
      <c r="C13" s="2" t="s">
        <v>8</v>
      </c>
      <c r="D13" s="2" t="s">
        <v>87</v>
      </c>
      <c r="E13" s="2"/>
      <c r="F13" s="2" t="s">
        <v>4</v>
      </c>
      <c r="G13" s="2" t="s">
        <v>21</v>
      </c>
      <c r="H13" s="2">
        <v>21.39</v>
      </c>
      <c r="I13" s="2" t="s">
        <v>2</v>
      </c>
      <c r="J13" s="2">
        <v>74834738</v>
      </c>
      <c r="K13" s="2" t="s">
        <v>22</v>
      </c>
      <c r="L13" s="5">
        <v>6093005</v>
      </c>
      <c r="M13" s="2" t="s">
        <v>110</v>
      </c>
      <c r="N13" s="2">
        <v>181749</v>
      </c>
      <c r="O13" s="5">
        <v>2904001480739</v>
      </c>
      <c r="P13" s="2" t="s">
        <v>128</v>
      </c>
      <c r="Q13" s="2">
        <v>3.74</v>
      </c>
      <c r="R13" s="2">
        <v>80</v>
      </c>
      <c r="S13" s="2"/>
      <c r="T13" s="2">
        <v>0</v>
      </c>
      <c r="U13" s="2">
        <v>0</v>
      </c>
      <c r="V13" s="2">
        <v>0</v>
      </c>
      <c r="W13" s="5">
        <v>0</v>
      </c>
      <c r="X13" s="2"/>
      <c r="Y13" s="2">
        <v>0</v>
      </c>
      <c r="Z13" s="2">
        <v>0</v>
      </c>
      <c r="AA13" s="2">
        <v>107</v>
      </c>
      <c r="AB13" s="5" t="s">
        <v>8</v>
      </c>
      <c r="AC13" s="2" t="s">
        <v>8</v>
      </c>
      <c r="AD13" s="2">
        <v>0</v>
      </c>
    </row>
    <row r="14" spans="1:30" x14ac:dyDescent="0.25">
      <c r="A14" s="19">
        <v>42461</v>
      </c>
      <c r="B14" s="2" t="s">
        <v>8</v>
      </c>
      <c r="C14" s="2" t="s">
        <v>8</v>
      </c>
      <c r="D14" s="2" t="s">
        <v>88</v>
      </c>
      <c r="E14" s="2"/>
      <c r="F14" s="2" t="s">
        <v>4</v>
      </c>
      <c r="G14" s="2" t="s">
        <v>21</v>
      </c>
      <c r="H14" s="2">
        <v>53.48</v>
      </c>
      <c r="I14" s="2" t="s">
        <v>2</v>
      </c>
      <c r="J14" s="2">
        <v>74834738</v>
      </c>
      <c r="K14" s="2" t="s">
        <v>22</v>
      </c>
      <c r="L14" s="5">
        <v>4880481016</v>
      </c>
      <c r="M14" s="2" t="s">
        <v>111</v>
      </c>
      <c r="N14" s="2">
        <v>181750</v>
      </c>
      <c r="O14" s="5">
        <v>2904001480739</v>
      </c>
      <c r="P14" s="2" t="s">
        <v>129</v>
      </c>
      <c r="Q14" s="2">
        <v>3.74</v>
      </c>
      <c r="R14" s="2">
        <v>200</v>
      </c>
      <c r="S14" s="2"/>
      <c r="T14" s="2">
        <v>0</v>
      </c>
      <c r="U14" s="2">
        <v>0</v>
      </c>
      <c r="V14" s="2">
        <v>0</v>
      </c>
      <c r="W14" s="5">
        <v>0</v>
      </c>
      <c r="X14" s="2"/>
      <c r="Y14" s="2">
        <v>0</v>
      </c>
      <c r="Z14" s="2">
        <v>0</v>
      </c>
      <c r="AA14" s="2">
        <v>108</v>
      </c>
      <c r="AB14" s="5" t="s">
        <v>8</v>
      </c>
      <c r="AC14" s="2" t="s">
        <v>8</v>
      </c>
      <c r="AD14" s="2">
        <v>0</v>
      </c>
    </row>
    <row r="15" spans="1:30" x14ac:dyDescent="0.25">
      <c r="A15" s="19">
        <v>42461</v>
      </c>
      <c r="B15" s="2" t="s">
        <v>8</v>
      </c>
      <c r="C15" s="2" t="s">
        <v>8</v>
      </c>
      <c r="D15" s="2" t="s">
        <v>89</v>
      </c>
      <c r="E15" s="2"/>
      <c r="F15" s="2" t="s">
        <v>4</v>
      </c>
      <c r="G15" s="2" t="s">
        <v>21</v>
      </c>
      <c r="H15" s="2">
        <v>25.21</v>
      </c>
      <c r="I15" s="2" t="s">
        <v>2</v>
      </c>
      <c r="J15" s="2">
        <v>74834738</v>
      </c>
      <c r="K15" s="2" t="s">
        <v>22</v>
      </c>
      <c r="L15" s="5">
        <v>4753408015</v>
      </c>
      <c r="M15" s="2" t="s">
        <v>112</v>
      </c>
      <c r="N15" s="2">
        <v>181751</v>
      </c>
      <c r="O15" s="5">
        <v>2904001480739</v>
      </c>
      <c r="P15" s="2" t="s">
        <v>130</v>
      </c>
      <c r="Q15" s="2">
        <v>3.74</v>
      </c>
      <c r="R15" s="2">
        <v>94.29</v>
      </c>
      <c r="S15" s="2"/>
      <c r="T15" s="2">
        <v>0</v>
      </c>
      <c r="U15" s="2">
        <v>0</v>
      </c>
      <c r="V15" s="2">
        <v>0</v>
      </c>
      <c r="W15" s="5">
        <v>0</v>
      </c>
      <c r="X15" s="2"/>
      <c r="Y15" s="2">
        <v>0</v>
      </c>
      <c r="Z15" s="2">
        <v>0</v>
      </c>
      <c r="AA15" s="2">
        <v>109</v>
      </c>
      <c r="AB15" s="5" t="s">
        <v>8</v>
      </c>
      <c r="AC15" s="2" t="s">
        <v>8</v>
      </c>
      <c r="AD15" s="2">
        <v>0</v>
      </c>
    </row>
    <row r="16" spans="1:30" x14ac:dyDescent="0.25">
      <c r="A16" s="19">
        <v>42461</v>
      </c>
      <c r="B16" s="2" t="s">
        <v>8</v>
      </c>
      <c r="C16" s="2" t="s">
        <v>8</v>
      </c>
      <c r="D16" s="2" t="s">
        <v>90</v>
      </c>
      <c r="E16" s="2"/>
      <c r="F16" s="2" t="s">
        <v>4</v>
      </c>
      <c r="G16" s="2" t="s">
        <v>21</v>
      </c>
      <c r="H16" s="2">
        <v>6.68</v>
      </c>
      <c r="I16" s="2" t="s">
        <v>2</v>
      </c>
      <c r="J16" s="2">
        <v>74834738</v>
      </c>
      <c r="K16" s="2" t="s">
        <v>22</v>
      </c>
      <c r="L16" s="5">
        <v>2669816015</v>
      </c>
      <c r="M16" s="2" t="s">
        <v>113</v>
      </c>
      <c r="N16" s="2">
        <v>181752</v>
      </c>
      <c r="O16" s="5">
        <v>2904001480739</v>
      </c>
      <c r="P16" s="2" t="s">
        <v>131</v>
      </c>
      <c r="Q16" s="2">
        <v>3.74</v>
      </c>
      <c r="R16" s="2">
        <v>25</v>
      </c>
      <c r="S16" s="2"/>
      <c r="T16" s="2">
        <v>0</v>
      </c>
      <c r="U16" s="2">
        <v>0</v>
      </c>
      <c r="V16" s="2">
        <v>0</v>
      </c>
      <c r="W16" s="5">
        <v>0</v>
      </c>
      <c r="X16" s="2"/>
      <c r="Y16" s="2">
        <v>0</v>
      </c>
      <c r="Z16" s="2">
        <v>0</v>
      </c>
      <c r="AA16" s="2">
        <v>110</v>
      </c>
      <c r="AB16" s="5" t="s">
        <v>8</v>
      </c>
      <c r="AC16" s="2" t="s">
        <v>8</v>
      </c>
      <c r="AD16" s="2">
        <v>0</v>
      </c>
    </row>
    <row r="17" spans="1:30" x14ac:dyDescent="0.25">
      <c r="A17" s="19">
        <v>42461</v>
      </c>
      <c r="B17" s="2" t="s">
        <v>8</v>
      </c>
      <c r="C17" s="2" t="s">
        <v>8</v>
      </c>
      <c r="D17" s="2" t="s">
        <v>91</v>
      </c>
      <c r="E17" s="2"/>
      <c r="F17" s="2" t="s">
        <v>4</v>
      </c>
      <c r="G17" s="2" t="s">
        <v>25</v>
      </c>
      <c r="H17" s="2">
        <v>13.44</v>
      </c>
      <c r="I17" s="2" t="s">
        <v>2</v>
      </c>
      <c r="J17" s="2">
        <v>74834738</v>
      </c>
      <c r="K17" s="2" t="s">
        <v>22</v>
      </c>
      <c r="L17" s="5">
        <v>50478012</v>
      </c>
      <c r="M17" s="2" t="s">
        <v>114</v>
      </c>
      <c r="N17" s="2">
        <v>181753</v>
      </c>
      <c r="O17" s="5">
        <v>2904001480739</v>
      </c>
      <c r="P17" s="2" t="s">
        <v>132</v>
      </c>
      <c r="Q17" s="2">
        <v>3.72</v>
      </c>
      <c r="R17" s="2">
        <v>50</v>
      </c>
      <c r="S17" s="2"/>
      <c r="T17" s="2">
        <v>0</v>
      </c>
      <c r="U17" s="2">
        <v>0</v>
      </c>
      <c r="V17" s="2">
        <v>0</v>
      </c>
      <c r="W17" s="5">
        <v>0</v>
      </c>
      <c r="X17" s="2"/>
      <c r="Y17" s="2">
        <v>0</v>
      </c>
      <c r="Z17" s="2">
        <v>0</v>
      </c>
      <c r="AA17" s="2">
        <v>111</v>
      </c>
      <c r="AB17" s="5" t="s">
        <v>8</v>
      </c>
      <c r="AC17" s="2" t="s">
        <v>8</v>
      </c>
      <c r="AD17" s="2">
        <v>0</v>
      </c>
    </row>
    <row r="18" spans="1:30" x14ac:dyDescent="0.25">
      <c r="A18" s="19">
        <v>42461</v>
      </c>
      <c r="B18" s="2" t="s">
        <v>8</v>
      </c>
      <c r="C18" s="2" t="s">
        <v>8</v>
      </c>
      <c r="D18" s="2" t="s">
        <v>92</v>
      </c>
      <c r="E18" s="2"/>
      <c r="F18" s="2" t="s">
        <v>4</v>
      </c>
      <c r="G18" s="2" t="s">
        <v>21</v>
      </c>
      <c r="H18" s="2">
        <v>5.35</v>
      </c>
      <c r="I18" s="2" t="s">
        <v>2</v>
      </c>
      <c r="J18" s="2">
        <v>74834738</v>
      </c>
      <c r="K18" s="2" t="s">
        <v>22</v>
      </c>
      <c r="L18" s="5">
        <v>2442940</v>
      </c>
      <c r="M18" s="2" t="s">
        <v>115</v>
      </c>
      <c r="N18" s="2">
        <v>181754</v>
      </c>
      <c r="O18" s="5">
        <v>2904001480739</v>
      </c>
      <c r="P18" s="2" t="s">
        <v>133</v>
      </c>
      <c r="Q18" s="2">
        <v>3.74</v>
      </c>
      <c r="R18" s="2">
        <v>20</v>
      </c>
      <c r="S18" s="2"/>
      <c r="T18" s="2">
        <v>0</v>
      </c>
      <c r="U18" s="2">
        <v>0</v>
      </c>
      <c r="V18" s="2">
        <v>0</v>
      </c>
      <c r="W18" s="5">
        <v>0</v>
      </c>
      <c r="X18" s="2"/>
      <c r="Y18" s="2">
        <v>0</v>
      </c>
      <c r="Z18" s="2">
        <v>0</v>
      </c>
      <c r="AA18" s="2">
        <v>112</v>
      </c>
      <c r="AB18" s="5" t="s">
        <v>8</v>
      </c>
      <c r="AC18" s="2" t="s">
        <v>8</v>
      </c>
      <c r="AD18" s="2">
        <v>0</v>
      </c>
    </row>
    <row r="19" spans="1:30" x14ac:dyDescent="0.25">
      <c r="A19" s="19">
        <v>42461</v>
      </c>
      <c r="B19" s="2" t="s">
        <v>8</v>
      </c>
      <c r="C19" s="2" t="s">
        <v>8</v>
      </c>
      <c r="D19" s="2" t="s">
        <v>93</v>
      </c>
      <c r="E19" s="2"/>
      <c r="F19" s="2" t="s">
        <v>4</v>
      </c>
      <c r="G19" s="2" t="s">
        <v>21</v>
      </c>
      <c r="H19" s="2">
        <v>13.37</v>
      </c>
      <c r="I19" s="2" t="s">
        <v>2</v>
      </c>
      <c r="J19" s="2">
        <v>74834738</v>
      </c>
      <c r="K19" s="2" t="s">
        <v>22</v>
      </c>
      <c r="L19" s="5">
        <v>487682010</v>
      </c>
      <c r="M19" s="2" t="s">
        <v>116</v>
      </c>
      <c r="N19" s="2">
        <v>181755</v>
      </c>
      <c r="O19" s="5">
        <v>2904001480739</v>
      </c>
      <c r="P19" s="2" t="s">
        <v>134</v>
      </c>
      <c r="Q19" s="2">
        <v>3.74</v>
      </c>
      <c r="R19" s="2">
        <v>50</v>
      </c>
      <c r="S19" s="2"/>
      <c r="T19" s="2">
        <v>0</v>
      </c>
      <c r="U19" s="2">
        <v>0</v>
      </c>
      <c r="V19" s="2">
        <v>0</v>
      </c>
      <c r="W19" s="5">
        <v>0</v>
      </c>
      <c r="X19" s="2"/>
      <c r="Y19" s="2">
        <v>0</v>
      </c>
      <c r="Z19" s="2">
        <v>0</v>
      </c>
      <c r="AA19" s="2">
        <v>113</v>
      </c>
      <c r="AB19" s="5" t="s">
        <v>8</v>
      </c>
      <c r="AC19" s="2" t="s">
        <v>8</v>
      </c>
      <c r="AD19" s="2">
        <v>0</v>
      </c>
    </row>
    <row r="20" spans="1:30" x14ac:dyDescent="0.25">
      <c r="A20" s="19">
        <v>42461</v>
      </c>
      <c r="B20" s="2" t="s">
        <v>8</v>
      </c>
      <c r="C20" s="2" t="s">
        <v>8</v>
      </c>
      <c r="D20" s="2" t="s">
        <v>94</v>
      </c>
      <c r="E20" s="2"/>
      <c r="F20" s="2" t="s">
        <v>4</v>
      </c>
      <c r="G20" s="2" t="s">
        <v>21</v>
      </c>
      <c r="H20" s="2">
        <v>42.79</v>
      </c>
      <c r="I20" s="2" t="s">
        <v>2</v>
      </c>
      <c r="J20" s="2">
        <v>74834738</v>
      </c>
      <c r="K20" s="2" t="s">
        <v>22</v>
      </c>
      <c r="L20" s="5">
        <v>6171479</v>
      </c>
      <c r="M20" s="2" t="s">
        <v>117</v>
      </c>
      <c r="N20" s="2">
        <v>181756</v>
      </c>
      <c r="O20" s="5">
        <v>2904001480739</v>
      </c>
      <c r="P20" s="2" t="s">
        <v>135</v>
      </c>
      <c r="Q20" s="2">
        <v>3.74</v>
      </c>
      <c r="R20" s="2">
        <v>160.03</v>
      </c>
      <c r="S20" s="2"/>
      <c r="T20" s="2">
        <v>0</v>
      </c>
      <c r="U20" s="2">
        <v>0</v>
      </c>
      <c r="V20" s="2">
        <v>0</v>
      </c>
      <c r="W20" s="5">
        <v>0</v>
      </c>
      <c r="X20" s="2"/>
      <c r="Y20" s="2">
        <v>0</v>
      </c>
      <c r="Z20" s="2">
        <v>0</v>
      </c>
      <c r="AA20" s="2">
        <v>114</v>
      </c>
      <c r="AB20" s="5" t="s">
        <v>8</v>
      </c>
      <c r="AC20" s="2" t="s">
        <v>8</v>
      </c>
      <c r="AD20" s="2">
        <v>0</v>
      </c>
    </row>
    <row r="21" spans="1:30" x14ac:dyDescent="0.25">
      <c r="A21" s="19">
        <v>42478</v>
      </c>
      <c r="B21" s="2" t="s">
        <v>8</v>
      </c>
      <c r="C21" s="2" t="s">
        <v>8</v>
      </c>
      <c r="D21" s="2" t="s">
        <v>96</v>
      </c>
      <c r="E21" s="2"/>
      <c r="F21" s="2" t="s">
        <v>4</v>
      </c>
      <c r="G21" s="2" t="s">
        <v>25</v>
      </c>
      <c r="H21" s="2">
        <v>110.22</v>
      </c>
      <c r="I21" s="2" t="s">
        <v>2</v>
      </c>
      <c r="J21" s="2">
        <v>74834738</v>
      </c>
      <c r="K21" s="2" t="s">
        <v>22</v>
      </c>
      <c r="L21" s="5">
        <v>1054246</v>
      </c>
      <c r="M21" s="2" t="s">
        <v>118</v>
      </c>
      <c r="N21" s="2">
        <v>205655</v>
      </c>
      <c r="O21" s="5">
        <v>2904001480739</v>
      </c>
      <c r="P21" s="2" t="s">
        <v>136</v>
      </c>
      <c r="Q21" s="2">
        <v>3.72</v>
      </c>
      <c r="R21" s="2">
        <v>410</v>
      </c>
      <c r="S21" s="2"/>
      <c r="T21" s="2">
        <v>0</v>
      </c>
      <c r="U21" s="2">
        <v>0</v>
      </c>
      <c r="V21" s="2">
        <v>0</v>
      </c>
      <c r="W21" s="5">
        <v>0</v>
      </c>
      <c r="X21" s="2"/>
      <c r="Y21" s="2">
        <v>0</v>
      </c>
      <c r="Z21" s="2">
        <v>0</v>
      </c>
      <c r="AA21" s="2">
        <v>24013</v>
      </c>
      <c r="AB21" s="5" t="s">
        <v>8</v>
      </c>
      <c r="AC21" s="2" t="s">
        <v>8</v>
      </c>
      <c r="AD21" s="2">
        <v>0</v>
      </c>
    </row>
    <row r="22" spans="1:30" x14ac:dyDescent="0.25">
      <c r="A22" s="19">
        <v>42468</v>
      </c>
      <c r="B22" s="2" t="s">
        <v>8</v>
      </c>
      <c r="C22" s="2" t="s">
        <v>8</v>
      </c>
      <c r="D22" s="2" t="s">
        <v>95</v>
      </c>
      <c r="E22" s="2"/>
      <c r="F22" s="2" t="s">
        <v>4</v>
      </c>
      <c r="G22" s="2" t="s">
        <v>25</v>
      </c>
      <c r="H22" s="2">
        <v>81.84</v>
      </c>
      <c r="I22" s="2" t="s">
        <v>2</v>
      </c>
      <c r="J22" s="2">
        <v>74834738</v>
      </c>
      <c r="K22" s="2" t="s">
        <v>22</v>
      </c>
      <c r="L22" s="5">
        <v>1029241022</v>
      </c>
      <c r="M22" s="2" t="s">
        <v>108</v>
      </c>
      <c r="N22" s="2">
        <v>137</v>
      </c>
      <c r="O22" s="5">
        <v>277105600010590</v>
      </c>
      <c r="P22" s="2">
        <v>0</v>
      </c>
      <c r="Q22" s="2">
        <v>3.72</v>
      </c>
      <c r="R22" s="2">
        <v>304.44</v>
      </c>
      <c r="S22" s="2"/>
      <c r="T22" s="2">
        <v>0</v>
      </c>
      <c r="U22" s="2">
        <v>0</v>
      </c>
      <c r="V22" s="2">
        <v>0</v>
      </c>
      <c r="W22" s="5">
        <v>0</v>
      </c>
      <c r="X22" s="2"/>
      <c r="Y22" s="2">
        <v>0</v>
      </c>
      <c r="Z22" s="2">
        <v>0</v>
      </c>
      <c r="AA22" s="2">
        <v>24014</v>
      </c>
      <c r="AB22" s="5" t="s">
        <v>8</v>
      </c>
      <c r="AC22" s="2" t="s">
        <v>8</v>
      </c>
      <c r="AD22" s="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>
      <selection activeCell="A3" sqref="A3"/>
    </sheetView>
  </sheetViews>
  <sheetFormatPr baseColWidth="10" defaultColWidth="19.140625" defaultRowHeight="15" x14ac:dyDescent="0.25"/>
  <cols>
    <col min="2" max="2" width="26" customWidth="1"/>
    <col min="28" max="29" width="25.5703125" customWidth="1"/>
  </cols>
  <sheetData>
    <row r="1" spans="1:30" s="7" customFormat="1" x14ac:dyDescent="0.25">
      <c r="A1" s="20">
        <v>0</v>
      </c>
      <c r="B1" s="20">
        <v>1</v>
      </c>
      <c r="C1" s="20">
        <v>2</v>
      </c>
      <c r="D1" s="20">
        <v>3</v>
      </c>
      <c r="E1" s="20">
        <v>4</v>
      </c>
      <c r="F1" s="20">
        <v>5</v>
      </c>
      <c r="G1" s="20">
        <v>6</v>
      </c>
      <c r="H1" s="20">
        <v>7</v>
      </c>
      <c r="I1" s="20">
        <v>8</v>
      </c>
      <c r="J1" s="20">
        <v>9</v>
      </c>
      <c r="K1" s="20">
        <v>10</v>
      </c>
      <c r="L1" s="20">
        <v>11</v>
      </c>
      <c r="M1" s="20">
        <v>12</v>
      </c>
      <c r="N1" s="20">
        <v>13</v>
      </c>
      <c r="O1" s="20">
        <v>14</v>
      </c>
      <c r="P1" s="20">
        <v>15</v>
      </c>
      <c r="Q1" s="20">
        <v>16</v>
      </c>
      <c r="R1" s="20">
        <v>17</v>
      </c>
      <c r="S1" s="20">
        <v>18</v>
      </c>
      <c r="T1" s="20">
        <v>19</v>
      </c>
      <c r="U1" s="20">
        <v>20</v>
      </c>
      <c r="V1" s="20">
        <v>21</v>
      </c>
      <c r="W1" s="20">
        <v>22</v>
      </c>
      <c r="X1" s="20">
        <v>23</v>
      </c>
      <c r="Y1" s="20">
        <v>24</v>
      </c>
      <c r="Z1" s="20">
        <v>25</v>
      </c>
      <c r="AA1" s="20">
        <v>26</v>
      </c>
      <c r="AB1" s="20">
        <v>27</v>
      </c>
      <c r="AC1" s="20">
        <v>28</v>
      </c>
      <c r="AD1" s="20">
        <v>29</v>
      </c>
    </row>
    <row r="2" spans="1:30" s="1" customFormat="1" ht="108.75" customHeight="1" x14ac:dyDescent="0.25">
      <c r="A2" s="21" t="s">
        <v>14</v>
      </c>
      <c r="B2" s="22" t="s">
        <v>141</v>
      </c>
      <c r="C2" s="22" t="s">
        <v>71</v>
      </c>
      <c r="D2" s="22" t="s">
        <v>61</v>
      </c>
      <c r="E2" s="22" t="s">
        <v>15</v>
      </c>
      <c r="F2" s="22" t="s">
        <v>3</v>
      </c>
      <c r="G2" s="22" t="s">
        <v>7</v>
      </c>
      <c r="H2" s="22" t="s">
        <v>0</v>
      </c>
      <c r="I2" s="22" t="s">
        <v>12</v>
      </c>
      <c r="J2" s="22" t="s">
        <v>9</v>
      </c>
      <c r="K2" s="22" t="s">
        <v>73</v>
      </c>
      <c r="L2" s="22" t="s">
        <v>5</v>
      </c>
      <c r="M2" s="22" t="s">
        <v>6</v>
      </c>
      <c r="N2" s="22" t="s">
        <v>16</v>
      </c>
      <c r="O2" s="23" t="s">
        <v>17</v>
      </c>
      <c r="P2" s="22" t="s">
        <v>49</v>
      </c>
      <c r="Q2" s="22" t="s">
        <v>1</v>
      </c>
      <c r="R2" s="22" t="s">
        <v>10</v>
      </c>
      <c r="S2" s="22" t="s">
        <v>23</v>
      </c>
      <c r="T2" s="22" t="s">
        <v>1</v>
      </c>
      <c r="U2" s="22" t="s">
        <v>10</v>
      </c>
      <c r="V2" s="22" t="s">
        <v>56</v>
      </c>
      <c r="W2" s="22" t="s">
        <v>57</v>
      </c>
      <c r="X2" s="22" t="s">
        <v>58</v>
      </c>
      <c r="Y2" s="22" t="s">
        <v>59</v>
      </c>
      <c r="Z2" s="22" t="s">
        <v>60</v>
      </c>
      <c r="AA2" s="22" t="s">
        <v>26</v>
      </c>
      <c r="AB2" s="22" t="s">
        <v>69</v>
      </c>
      <c r="AC2" s="22" t="s">
        <v>70</v>
      </c>
      <c r="AD2" s="22" t="s">
        <v>53</v>
      </c>
    </row>
    <row r="3" spans="1:30" x14ac:dyDescent="0.25">
      <c r="A3" s="2" t="s">
        <v>97</v>
      </c>
      <c r="B3" s="2" t="s">
        <v>8</v>
      </c>
      <c r="C3" s="2" t="s">
        <v>8</v>
      </c>
      <c r="D3" s="2"/>
      <c r="E3" s="2"/>
      <c r="F3" s="2" t="s">
        <v>4</v>
      </c>
      <c r="G3" s="2" t="s">
        <v>21</v>
      </c>
      <c r="H3" s="2">
        <v>2.87</v>
      </c>
      <c r="I3" s="2" t="s">
        <v>2</v>
      </c>
      <c r="J3" s="2" t="s">
        <v>98</v>
      </c>
      <c r="K3" s="2" t="s">
        <v>22</v>
      </c>
      <c r="L3" s="2">
        <v>0</v>
      </c>
      <c r="M3" s="2"/>
      <c r="N3" s="2">
        <v>0</v>
      </c>
      <c r="O3" s="2">
        <v>0</v>
      </c>
      <c r="P3" s="2"/>
      <c r="Q3" s="2">
        <v>0</v>
      </c>
      <c r="R3" s="2">
        <v>0</v>
      </c>
      <c r="S3" s="2"/>
      <c r="T3" s="2">
        <v>0</v>
      </c>
      <c r="U3" s="2">
        <v>0</v>
      </c>
      <c r="V3" s="2">
        <v>0</v>
      </c>
      <c r="W3" s="2">
        <v>0</v>
      </c>
      <c r="X3" s="2"/>
      <c r="Y3" s="2">
        <v>0</v>
      </c>
      <c r="Z3" s="2">
        <v>0</v>
      </c>
      <c r="AA3" s="2">
        <v>125036</v>
      </c>
      <c r="AB3" s="2" t="s">
        <v>8</v>
      </c>
      <c r="AC3" s="2" t="s">
        <v>8</v>
      </c>
      <c r="AD3" s="2">
        <v>0</v>
      </c>
    </row>
    <row r="4" spans="1:30" x14ac:dyDescent="0.25">
      <c r="A4" s="2" t="s">
        <v>97</v>
      </c>
      <c r="B4" s="2" t="s">
        <v>8</v>
      </c>
      <c r="C4" s="2" t="s">
        <v>8</v>
      </c>
      <c r="D4" s="2"/>
      <c r="E4" s="2"/>
      <c r="F4" s="2" t="s">
        <v>4</v>
      </c>
      <c r="G4" s="2" t="s">
        <v>25</v>
      </c>
      <c r="H4" s="2">
        <v>7.5</v>
      </c>
      <c r="I4" s="2" t="s">
        <v>2</v>
      </c>
      <c r="J4" s="2" t="s">
        <v>98</v>
      </c>
      <c r="K4" s="2" t="s">
        <v>22</v>
      </c>
      <c r="L4" s="2">
        <v>0</v>
      </c>
      <c r="M4" s="2"/>
      <c r="N4" s="2">
        <v>0</v>
      </c>
      <c r="O4" s="2">
        <v>0</v>
      </c>
      <c r="P4" s="2"/>
      <c r="Q4" s="2">
        <v>0</v>
      </c>
      <c r="R4" s="2">
        <v>0</v>
      </c>
      <c r="S4" s="2"/>
      <c r="T4" s="2">
        <v>0</v>
      </c>
      <c r="U4" s="2">
        <v>0</v>
      </c>
      <c r="V4" s="2">
        <v>0</v>
      </c>
      <c r="W4" s="2">
        <v>0</v>
      </c>
      <c r="X4" s="2"/>
      <c r="Y4" s="2">
        <v>0</v>
      </c>
      <c r="Z4" s="2">
        <v>0</v>
      </c>
      <c r="AA4" s="2">
        <v>125036</v>
      </c>
      <c r="AB4" s="2" t="s">
        <v>8</v>
      </c>
      <c r="AC4" s="2" t="s">
        <v>8</v>
      </c>
      <c r="AD4" s="2">
        <v>0</v>
      </c>
    </row>
    <row r="5" spans="1:30" x14ac:dyDescent="0.25">
      <c r="A5" s="2" t="s">
        <v>140</v>
      </c>
      <c r="B5" s="2" t="s">
        <v>8</v>
      </c>
      <c r="C5" s="2" t="s">
        <v>8</v>
      </c>
      <c r="D5" s="2"/>
      <c r="E5" s="2"/>
      <c r="F5" s="2" t="s">
        <v>4</v>
      </c>
      <c r="G5" s="2" t="s">
        <v>25</v>
      </c>
      <c r="H5" s="2">
        <v>1.9850000000000001</v>
      </c>
      <c r="I5" s="2" t="s">
        <v>2</v>
      </c>
      <c r="J5" s="2" t="s">
        <v>98</v>
      </c>
      <c r="K5" s="2" t="s">
        <v>22</v>
      </c>
      <c r="L5" s="2">
        <v>0</v>
      </c>
      <c r="M5" s="2"/>
      <c r="N5" s="2">
        <v>0</v>
      </c>
      <c r="O5" s="2">
        <v>0</v>
      </c>
      <c r="P5" s="2"/>
      <c r="Q5" s="2">
        <v>0</v>
      </c>
      <c r="R5" s="2">
        <v>0</v>
      </c>
      <c r="S5" s="2"/>
      <c r="T5" s="2">
        <v>0</v>
      </c>
      <c r="U5" s="2">
        <v>0</v>
      </c>
      <c r="V5" s="2">
        <v>0</v>
      </c>
      <c r="W5" s="2">
        <v>0</v>
      </c>
      <c r="X5" s="2"/>
      <c r="Y5" s="2">
        <v>0</v>
      </c>
      <c r="Z5" s="2">
        <v>0</v>
      </c>
      <c r="AA5" s="2">
        <v>125037</v>
      </c>
      <c r="AB5" s="2" t="s">
        <v>8</v>
      </c>
      <c r="AC5" s="2" t="s">
        <v>8</v>
      </c>
      <c r="AD5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 Tipos de Operaciones</vt:lpstr>
      <vt:lpstr>SalXVenta</vt:lpstr>
      <vt:lpstr>SalXMerma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cp:lastPrinted>2016-11-23T22:04:17Z</cp:lastPrinted>
  <dcterms:created xsi:type="dcterms:W3CDTF">2016-04-19T13:46:13Z</dcterms:created>
  <dcterms:modified xsi:type="dcterms:W3CDTF">2017-01-09T19:54:35Z</dcterms:modified>
</cp:coreProperties>
</file>