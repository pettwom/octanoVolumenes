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temas_2017\AnhHydroOctanoVolumenes\OctanoVolumenes\AnhHydroOctanoVolumenes\AnhHydroOctanoPresentacion\Sitio\Plantillas\"/>
    </mc:Choice>
  </mc:AlternateContent>
  <bookViews>
    <workbookView xWindow="480" yWindow="120" windowWidth="18195" windowHeight="8445"/>
  </bookViews>
  <sheets>
    <sheet name="Detalle" sheetId="15" r:id="rId1"/>
    <sheet name="Ejm. Registro" sheetId="16" r:id="rId2"/>
  </sheets>
  <calcPr calcId="152511"/>
</workbook>
</file>

<file path=xl/calcChain.xml><?xml version="1.0" encoding="utf-8"?>
<calcChain xmlns="http://schemas.openxmlformats.org/spreadsheetml/2006/main">
  <c r="Q6" i="16" l="1"/>
  <c r="M6" i="16"/>
  <c r="Q5" i="16"/>
  <c r="M5" i="16"/>
  <c r="Q4" i="16"/>
  <c r="M4" i="16"/>
  <c r="Q3" i="16"/>
  <c r="M3" i="16"/>
  <c r="Q2" i="16"/>
  <c r="M2" i="16"/>
  <c r="Q1" i="16"/>
  <c r="M1" i="16"/>
  <c r="Q9" i="15" l="1"/>
  <c r="Q7" i="15"/>
  <c r="Q6" i="15"/>
  <c r="Q5" i="15"/>
  <c r="Q4" i="15"/>
  <c r="Q8" i="15"/>
  <c r="M9" i="15"/>
  <c r="M8" i="15"/>
  <c r="M7" i="15"/>
  <c r="M6" i="15"/>
  <c r="M5" i="15"/>
  <c r="M4" i="15" l="1"/>
</calcChain>
</file>

<file path=xl/sharedStrings.xml><?xml version="1.0" encoding="utf-8"?>
<sst xmlns="http://schemas.openxmlformats.org/spreadsheetml/2006/main" count="94" uniqueCount="56">
  <si>
    <t>RAZON SOCIAL</t>
  </si>
  <si>
    <t>FECHA</t>
  </si>
  <si>
    <t>NO FACTURA</t>
  </si>
  <si>
    <t>01/10/2016 08:10:00</t>
  </si>
  <si>
    <t>01/10/2016 08:15:00</t>
  </si>
  <si>
    <t>01/10/2016 08:30:00</t>
  </si>
  <si>
    <t>01/10/2016 08:40:00</t>
  </si>
  <si>
    <t>458KOL</t>
  </si>
  <si>
    <t>ANDRADE</t>
  </si>
  <si>
    <t>11-AA-45-45</t>
  </si>
  <si>
    <t>543GTR</t>
  </si>
  <si>
    <t>CONSTRUCTORA S.R.L.</t>
  </si>
  <si>
    <t>54-76-A1-78-98</t>
  </si>
  <si>
    <t>985HXX</t>
  </si>
  <si>
    <t>AB84959</t>
  </si>
  <si>
    <t>INTERNACIONAL S.A.</t>
  </si>
  <si>
    <t>34-56-12-A3</t>
  </si>
  <si>
    <t>01/10/2016 09:00:34</t>
  </si>
  <si>
    <t>BIDO</t>
  </si>
  <si>
    <t>LIRA</t>
  </si>
  <si>
    <t>11-AA-66-66</t>
  </si>
  <si>
    <t>423GTR</t>
  </si>
  <si>
    <t>EMPRESA S.A.</t>
  </si>
  <si>
    <t>65-AC-53-66-88</t>
  </si>
  <si>
    <t>Texto</t>
  </si>
  <si>
    <r>
      <t xml:space="preserve">Texto                         </t>
    </r>
    <r>
      <rPr>
        <b/>
        <sz val="9"/>
        <color theme="1"/>
        <rFont val="Calibri"/>
        <family val="2"/>
      </rPr>
      <t>Vacio si no aplica</t>
    </r>
  </si>
  <si>
    <r>
      <t xml:space="preserve">Numerico
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</si>
  <si>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t>NIT EMISOR</t>
  </si>
  <si>
    <t>NIT CLIENTE</t>
  </si>
  <si>
    <t xml:space="preserve">Numerico </t>
  </si>
  <si>
    <r>
      <t xml:space="preserve">Texto
</t>
    </r>
    <r>
      <rPr>
        <b/>
        <sz val="9"/>
        <color theme="1"/>
        <rFont val="Calibri"/>
        <family val="2"/>
      </rPr>
      <t>Vacio si no aplica</t>
    </r>
  </si>
  <si>
    <t>Texto
dd/mm/aaaa hh:MM:ss</t>
  </si>
  <si>
    <t>IDENTIFICADOR
PLACA</t>
  </si>
  <si>
    <t>GNV</t>
  </si>
  <si>
    <t>PRODUCTO
GNV = GAS NATURAL VEHICULAR</t>
  </si>
  <si>
    <t>65-11-AB-65</t>
  </si>
  <si>
    <t>Numerico</t>
  </si>
  <si>
    <r>
      <t>Numerico</t>
    </r>
    <r>
      <rPr>
        <b/>
        <sz val="9"/>
        <color theme="1"/>
        <rFont val="Calibri"/>
        <family val="2"/>
        <scheme val="minor"/>
      </rPr>
      <t/>
    </r>
  </si>
  <si>
    <r>
      <t xml:space="preserve">Numerico                   </t>
    </r>
    <r>
      <rPr>
        <b/>
        <sz val="9"/>
        <color theme="1"/>
        <rFont val="Calibri"/>
        <family val="2"/>
        <scheme val="minor"/>
      </rPr>
      <t/>
    </r>
  </si>
  <si>
    <r>
      <t xml:space="preserve">Numerico                  </t>
    </r>
    <r>
      <rPr>
        <b/>
        <sz val="9"/>
        <color theme="1"/>
        <rFont val="Calibri"/>
        <family val="2"/>
        <scheme val="minor"/>
      </rPr>
      <t/>
    </r>
  </si>
  <si>
    <r>
      <t xml:space="preserve">Numerico
</t>
    </r>
    <r>
      <rPr>
        <b/>
        <sz val="9"/>
        <color theme="1"/>
        <rFont val="Calibri"/>
        <family val="2"/>
        <scheme val="minor"/>
      </rPr>
      <t>Separador decimal "." (Punto)</t>
    </r>
  </si>
  <si>
    <t>CANTIDAD</t>
  </si>
  <si>
    <t>NO AUTORIZACION
FACTURA</t>
  </si>
  <si>
    <t>CODIGO CONTROL
FACTURA</t>
  </si>
  <si>
    <t>PRECIO
FACTURA</t>
  </si>
  <si>
    <t>IMPORTE
FACTURA</t>
  </si>
  <si>
    <t>01/01/2014 08:10:00</t>
  </si>
  <si>
    <t>01/10/2014 08:15:00</t>
  </si>
  <si>
    <t>01/10/2014 08:30:00</t>
  </si>
  <si>
    <t>01/10/2014 09:00:34</t>
  </si>
  <si>
    <t>01/10/2014 08:40:00</t>
  </si>
  <si>
    <t>ID REGISTRO</t>
  </si>
  <si>
    <t>NRO. SERVICIO SUIC</t>
  </si>
  <si>
    <t>NRO. DOCUMENTO SUIC</t>
  </si>
  <si>
    <t>PRECIO UNITARIO SUIC</t>
  </si>
  <si>
    <t>IMPORTE SUIC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</si>
</sst>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0" borderId="1" xfId="0" applyBorder="1"/>
    <xf numFmtId="49" fontId="0" fillId="0" borderId="1" xfId="0" applyNumberFormat="1" applyBorder="1"/>
    <xf numFmtId="1" fontId="0" fillId="0" borderId="1" xfId="0" applyNumberFormat="1" applyBorder="1"/>
    <xf numFmtId="49" fontId="1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0" fontId="2" fillId="0" borderId="0" xfId="0" applyFont="1"/>
    <xf numFmtId="1" fontId="2" fillId="0" borderId="0" xfId="0" applyNumberFormat="1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tabSelected="1" workbookViewId="0"/>
  </sheetViews>
  <sheetFormatPr baseColWidth="10" defaultColWidth="17.140625" defaultRowHeight="15" x14ac:dyDescent="0.25"/>
  <cols>
    <col min="1" max="1" width="22" style="1" bestFit="1" customWidth="1"/>
    <col min="2" max="2" width="16.7109375" style="1" customWidth="1"/>
    <col min="3" max="4" width="17.140625" style="1"/>
    <col min="5" max="5" width="14.85546875" style="1" customWidth="1"/>
    <col min="6" max="6" width="17.140625" style="1"/>
    <col min="7" max="7" width="26" style="1" customWidth="1"/>
    <col min="8" max="9" width="17.140625" style="1"/>
    <col min="10" max="10" width="18.28515625" style="1" customWidth="1"/>
    <col min="11" max="11" width="23" style="1" customWidth="1"/>
    <col min="12" max="12" width="23.5703125" style="1" customWidth="1"/>
    <col min="13" max="13" width="22.28515625" style="1" customWidth="1"/>
    <col min="14" max="14" width="22.7109375" style="1" customWidth="1"/>
    <col min="15" max="15" width="22.85546875" style="1" customWidth="1"/>
    <col min="16" max="17" width="23.85546875" style="1" customWidth="1"/>
    <col min="18" max="16384" width="17.140625" style="1"/>
  </cols>
  <sheetData>
    <row r="1" spans="1:17" s="8" customFormat="1" x14ac:dyDescent="0.25">
      <c r="A1" s="9">
        <v>0</v>
      </c>
      <c r="B1" s="9">
        <v>1</v>
      </c>
      <c r="C1" s="9">
        <v>2</v>
      </c>
      <c r="D1" s="9">
        <v>3</v>
      </c>
      <c r="E1" s="9">
        <v>4</v>
      </c>
      <c r="F1" s="9">
        <v>5</v>
      </c>
      <c r="G1" s="9">
        <v>6</v>
      </c>
      <c r="H1" s="9">
        <v>7</v>
      </c>
      <c r="I1" s="9">
        <v>8</v>
      </c>
      <c r="J1" s="9">
        <v>9</v>
      </c>
      <c r="K1" s="9">
        <v>10</v>
      </c>
      <c r="L1" s="9">
        <v>11</v>
      </c>
      <c r="M1" s="9">
        <v>12</v>
      </c>
      <c r="N1" s="9">
        <v>13</v>
      </c>
      <c r="O1" s="9">
        <v>14</v>
      </c>
      <c r="P1" s="9">
        <v>15</v>
      </c>
      <c r="Q1" s="9">
        <v>16</v>
      </c>
    </row>
    <row r="2" spans="1:17" ht="121.5" customHeight="1" x14ac:dyDescent="0.25">
      <c r="A2" s="5" t="s">
        <v>1</v>
      </c>
      <c r="B2" s="6" t="s">
        <v>51</v>
      </c>
      <c r="C2" s="6" t="s">
        <v>32</v>
      </c>
      <c r="D2" s="6" t="s">
        <v>34</v>
      </c>
      <c r="E2" s="6" t="s">
        <v>27</v>
      </c>
      <c r="F2" s="6" t="s">
        <v>28</v>
      </c>
      <c r="G2" s="6" t="s">
        <v>0</v>
      </c>
      <c r="H2" s="7" t="s">
        <v>42</v>
      </c>
      <c r="I2" s="7" t="s">
        <v>2</v>
      </c>
      <c r="J2" s="6" t="s">
        <v>43</v>
      </c>
      <c r="K2" s="6" t="s">
        <v>41</v>
      </c>
      <c r="L2" s="6" t="s">
        <v>44</v>
      </c>
      <c r="M2" s="6" t="s">
        <v>45</v>
      </c>
      <c r="N2" s="6" t="s">
        <v>52</v>
      </c>
      <c r="O2" s="6" t="s">
        <v>53</v>
      </c>
      <c r="P2" s="6" t="s">
        <v>54</v>
      </c>
      <c r="Q2" s="6" t="s">
        <v>55</v>
      </c>
    </row>
    <row r="3" spans="1:17" s="10" customFormat="1" ht="36.75" customHeight="1" x14ac:dyDescent="0.25">
      <c r="A3" s="5" t="s">
        <v>31</v>
      </c>
      <c r="B3" s="5" t="s">
        <v>29</v>
      </c>
      <c r="C3" s="5" t="s">
        <v>30</v>
      </c>
      <c r="D3" s="5" t="s">
        <v>24</v>
      </c>
      <c r="E3" s="5" t="s">
        <v>37</v>
      </c>
      <c r="F3" s="6" t="s">
        <v>26</v>
      </c>
      <c r="G3" s="5" t="s">
        <v>30</v>
      </c>
      <c r="H3" s="6" t="s">
        <v>38</v>
      </c>
      <c r="I3" s="6" t="s">
        <v>39</v>
      </c>
      <c r="J3" s="5" t="s">
        <v>25</v>
      </c>
      <c r="K3" s="6" t="s">
        <v>40</v>
      </c>
      <c r="L3" s="6" t="s">
        <v>40</v>
      </c>
      <c r="M3" s="6" t="s">
        <v>40</v>
      </c>
      <c r="N3" s="5" t="s">
        <v>36</v>
      </c>
      <c r="O3" s="5" t="s">
        <v>36</v>
      </c>
      <c r="P3" s="6" t="s">
        <v>40</v>
      </c>
      <c r="Q3" s="6" t="s">
        <v>40</v>
      </c>
    </row>
    <row r="4" spans="1:17" x14ac:dyDescent="0.25">
      <c r="A4" s="3" t="s">
        <v>3</v>
      </c>
      <c r="B4" s="2">
        <v>10001</v>
      </c>
      <c r="C4" s="2" t="s">
        <v>7</v>
      </c>
      <c r="D4" s="2" t="s">
        <v>33</v>
      </c>
      <c r="E4" s="2">
        <v>5112048484</v>
      </c>
      <c r="F4" s="2">
        <v>78996548</v>
      </c>
      <c r="G4" s="2" t="s">
        <v>8</v>
      </c>
      <c r="H4" s="4">
        <v>200100123456</v>
      </c>
      <c r="I4" s="2">
        <v>548</v>
      </c>
      <c r="J4" s="2" t="s">
        <v>9</v>
      </c>
      <c r="K4" s="2">
        <v>40.299999999999997</v>
      </c>
      <c r="L4" s="2">
        <v>1.66</v>
      </c>
      <c r="M4" s="2">
        <f>K4*L4</f>
        <v>66.897999999999996</v>
      </c>
      <c r="N4" s="2">
        <v>7844</v>
      </c>
      <c r="O4" s="2">
        <v>52201</v>
      </c>
      <c r="P4" s="2">
        <v>1</v>
      </c>
      <c r="Q4" s="2">
        <f t="shared" ref="Q4:Q7" si="0">ROUND(K4*P4,2)</f>
        <v>40.299999999999997</v>
      </c>
    </row>
    <row r="5" spans="1:17" x14ac:dyDescent="0.25">
      <c r="A5" s="3" t="s">
        <v>4</v>
      </c>
      <c r="B5" s="2">
        <v>10002</v>
      </c>
      <c r="C5" s="2" t="s">
        <v>10</v>
      </c>
      <c r="D5" s="2" t="s">
        <v>33</v>
      </c>
      <c r="E5" s="2">
        <v>5112048484</v>
      </c>
      <c r="F5" s="2">
        <v>4588745</v>
      </c>
      <c r="G5" s="2" t="s">
        <v>11</v>
      </c>
      <c r="H5" s="4">
        <v>200100123456</v>
      </c>
      <c r="I5" s="2">
        <v>549</v>
      </c>
      <c r="J5" s="2" t="s">
        <v>12</v>
      </c>
      <c r="K5" s="2">
        <v>20</v>
      </c>
      <c r="L5" s="2">
        <v>1.66</v>
      </c>
      <c r="M5" s="2">
        <f t="shared" ref="M5:M9" si="1">K5*L5</f>
        <v>33.199999999999996</v>
      </c>
      <c r="N5" s="2">
        <v>7845</v>
      </c>
      <c r="O5" s="2">
        <v>52202</v>
      </c>
      <c r="P5" s="2">
        <v>1</v>
      </c>
      <c r="Q5" s="2">
        <f t="shared" si="0"/>
        <v>20</v>
      </c>
    </row>
    <row r="6" spans="1:17" x14ac:dyDescent="0.25">
      <c r="A6" s="3" t="s">
        <v>5</v>
      </c>
      <c r="B6" s="2">
        <v>10003</v>
      </c>
      <c r="C6" s="2" t="s">
        <v>13</v>
      </c>
      <c r="D6" s="2" t="s">
        <v>33</v>
      </c>
      <c r="E6" s="2">
        <v>5112048484</v>
      </c>
      <c r="F6" s="2">
        <v>4588745</v>
      </c>
      <c r="G6" s="2" t="s">
        <v>11</v>
      </c>
      <c r="H6" s="4">
        <v>200100123456</v>
      </c>
      <c r="I6" s="2">
        <v>550</v>
      </c>
      <c r="J6" s="2" t="s">
        <v>35</v>
      </c>
      <c r="K6" s="2">
        <v>34</v>
      </c>
      <c r="L6" s="2">
        <v>1.66</v>
      </c>
      <c r="M6" s="2">
        <f t="shared" si="1"/>
        <v>56.44</v>
      </c>
      <c r="N6" s="2">
        <v>7846</v>
      </c>
      <c r="O6" s="2">
        <v>52203</v>
      </c>
      <c r="P6" s="2">
        <v>1</v>
      </c>
      <c r="Q6" s="2">
        <f t="shared" si="0"/>
        <v>34</v>
      </c>
    </row>
    <row r="7" spans="1:17" x14ac:dyDescent="0.25">
      <c r="A7" s="3" t="s">
        <v>5</v>
      </c>
      <c r="B7" s="2">
        <v>10004</v>
      </c>
      <c r="C7" s="2" t="s">
        <v>21</v>
      </c>
      <c r="D7" s="2" t="s">
        <v>33</v>
      </c>
      <c r="E7" s="2">
        <v>5112048484</v>
      </c>
      <c r="F7" s="2">
        <v>757564545</v>
      </c>
      <c r="G7" s="2" t="s">
        <v>22</v>
      </c>
      <c r="H7" s="4">
        <v>200100123456</v>
      </c>
      <c r="I7" s="2">
        <v>551</v>
      </c>
      <c r="J7" s="2" t="s">
        <v>23</v>
      </c>
      <c r="K7" s="2">
        <v>60</v>
      </c>
      <c r="L7" s="2">
        <v>1.66</v>
      </c>
      <c r="M7" s="2">
        <f t="shared" si="1"/>
        <v>99.6</v>
      </c>
      <c r="N7" s="2">
        <v>7847</v>
      </c>
      <c r="O7" s="2">
        <v>52204</v>
      </c>
      <c r="P7" s="2">
        <v>1</v>
      </c>
      <c r="Q7" s="2">
        <f t="shared" si="0"/>
        <v>60</v>
      </c>
    </row>
    <row r="8" spans="1:17" x14ac:dyDescent="0.25">
      <c r="A8" s="3" t="s">
        <v>17</v>
      </c>
      <c r="B8" s="2">
        <v>10005</v>
      </c>
      <c r="C8" s="2" t="s">
        <v>18</v>
      </c>
      <c r="D8" s="2" t="s">
        <v>33</v>
      </c>
      <c r="E8" s="2">
        <v>5112048484</v>
      </c>
      <c r="F8" s="2">
        <v>78554847</v>
      </c>
      <c r="G8" s="2" t="s">
        <v>19</v>
      </c>
      <c r="H8" s="4">
        <v>200100123456</v>
      </c>
      <c r="I8" s="2">
        <v>552</v>
      </c>
      <c r="J8" s="2" t="s">
        <v>20</v>
      </c>
      <c r="K8" s="2">
        <v>15.9</v>
      </c>
      <c r="L8" s="2">
        <v>1.66</v>
      </c>
      <c r="M8" s="2">
        <f t="shared" si="1"/>
        <v>26.393999999999998</v>
      </c>
      <c r="N8" s="2">
        <v>7848</v>
      </c>
      <c r="O8" s="2">
        <v>52205</v>
      </c>
      <c r="P8" s="2">
        <v>1</v>
      </c>
      <c r="Q8" s="2">
        <f>ROUND(K8*P8,2)</f>
        <v>15.9</v>
      </c>
    </row>
    <row r="9" spans="1:17" x14ac:dyDescent="0.25">
      <c r="A9" s="3" t="s">
        <v>6</v>
      </c>
      <c r="B9" s="2">
        <v>10006</v>
      </c>
      <c r="C9" s="2" t="s">
        <v>14</v>
      </c>
      <c r="D9" s="2" t="s">
        <v>33</v>
      </c>
      <c r="E9" s="2">
        <v>5112048484</v>
      </c>
      <c r="F9" s="2">
        <v>47569124</v>
      </c>
      <c r="G9" s="2" t="s">
        <v>15</v>
      </c>
      <c r="H9" s="4">
        <v>200100123456</v>
      </c>
      <c r="I9" s="2">
        <v>553</v>
      </c>
      <c r="J9" s="2" t="s">
        <v>16</v>
      </c>
      <c r="K9" s="2">
        <v>23.4</v>
      </c>
      <c r="L9" s="2">
        <v>1.66</v>
      </c>
      <c r="M9" s="2">
        <f t="shared" si="1"/>
        <v>38.843999999999994</v>
      </c>
      <c r="N9" s="2">
        <v>7849</v>
      </c>
      <c r="O9" s="2">
        <v>52206</v>
      </c>
      <c r="P9" s="2">
        <v>1</v>
      </c>
      <c r="Q9" s="2">
        <f t="shared" ref="Q9" si="2">ROUND(K9*P9,2)</f>
        <v>23.4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activeCell="A33" sqref="A33"/>
    </sheetView>
  </sheetViews>
  <sheetFormatPr baseColWidth="10" defaultRowHeight="15" x14ac:dyDescent="0.25"/>
  <cols>
    <col min="1" max="1" width="23.140625" customWidth="1"/>
    <col min="7" max="7" width="24.42578125" customWidth="1"/>
    <col min="8" max="8" width="21" customWidth="1"/>
  </cols>
  <sheetData>
    <row r="1" spans="1:17" x14ac:dyDescent="0.25">
      <c r="A1" s="3" t="s">
        <v>46</v>
      </c>
      <c r="B1" s="2">
        <v>10001</v>
      </c>
      <c r="C1" s="2" t="s">
        <v>7</v>
      </c>
      <c r="D1" s="2" t="s">
        <v>33</v>
      </c>
      <c r="E1" s="2">
        <v>3174346016</v>
      </c>
      <c r="F1" s="2">
        <v>78996548</v>
      </c>
      <c r="G1" s="2" t="s">
        <v>8</v>
      </c>
      <c r="H1" s="4">
        <v>200100123456</v>
      </c>
      <c r="I1" s="2">
        <v>548</v>
      </c>
      <c r="J1" s="2" t="s">
        <v>9</v>
      </c>
      <c r="K1" s="2">
        <v>40.299999999999997</v>
      </c>
      <c r="L1" s="2">
        <v>1.66</v>
      </c>
      <c r="M1" s="2">
        <f>K1*L1</f>
        <v>66.897999999999996</v>
      </c>
      <c r="N1" s="2">
        <v>7844</v>
      </c>
      <c r="O1" s="2">
        <v>52201</v>
      </c>
      <c r="P1" s="2">
        <v>1</v>
      </c>
      <c r="Q1" s="2">
        <f t="shared" ref="Q1:Q4" si="0">ROUND(K1*P1,2)</f>
        <v>40.299999999999997</v>
      </c>
    </row>
    <row r="2" spans="1:17" x14ac:dyDescent="0.25">
      <c r="A2" s="3" t="s">
        <v>47</v>
      </c>
      <c r="B2" s="2">
        <v>10002</v>
      </c>
      <c r="C2" s="2" t="s">
        <v>10</v>
      </c>
      <c r="D2" s="2" t="s">
        <v>33</v>
      </c>
      <c r="E2" s="2">
        <v>3174346016</v>
      </c>
      <c r="F2" s="2">
        <v>6532847</v>
      </c>
      <c r="G2" s="2" t="s">
        <v>11</v>
      </c>
      <c r="H2" s="4">
        <v>200100123456</v>
      </c>
      <c r="I2" s="2">
        <v>549</v>
      </c>
      <c r="J2" s="2" t="s">
        <v>12</v>
      </c>
      <c r="K2" s="2">
        <v>20</v>
      </c>
      <c r="L2" s="2">
        <v>1.66</v>
      </c>
      <c r="M2" s="2">
        <f t="shared" ref="M2:M6" si="1">K2*L2</f>
        <v>33.199999999999996</v>
      </c>
      <c r="N2" s="2">
        <v>7845</v>
      </c>
      <c r="O2" s="2">
        <v>52202</v>
      </c>
      <c r="P2" s="2">
        <v>1</v>
      </c>
      <c r="Q2" s="2">
        <f t="shared" si="0"/>
        <v>20</v>
      </c>
    </row>
    <row r="3" spans="1:17" x14ac:dyDescent="0.25">
      <c r="A3" s="3" t="s">
        <v>48</v>
      </c>
      <c r="B3" s="2">
        <v>10003</v>
      </c>
      <c r="C3" s="2" t="s">
        <v>13</v>
      </c>
      <c r="D3" s="2" t="s">
        <v>33</v>
      </c>
      <c r="E3" s="2">
        <v>3174346016</v>
      </c>
      <c r="F3" s="2">
        <v>6532847</v>
      </c>
      <c r="G3" s="2" t="s">
        <v>11</v>
      </c>
      <c r="H3" s="4">
        <v>200100123456</v>
      </c>
      <c r="I3" s="2">
        <v>550</v>
      </c>
      <c r="J3" s="2" t="s">
        <v>35</v>
      </c>
      <c r="K3" s="2">
        <v>34</v>
      </c>
      <c r="L3" s="2">
        <v>1.66</v>
      </c>
      <c r="M3" s="2">
        <f t="shared" si="1"/>
        <v>56.44</v>
      </c>
      <c r="N3" s="2">
        <v>7846</v>
      </c>
      <c r="O3" s="2">
        <v>52203</v>
      </c>
      <c r="P3" s="2">
        <v>1</v>
      </c>
      <c r="Q3" s="2">
        <f t="shared" si="0"/>
        <v>34</v>
      </c>
    </row>
    <row r="4" spans="1:17" x14ac:dyDescent="0.25">
      <c r="A4" s="3" t="s">
        <v>48</v>
      </c>
      <c r="B4" s="2">
        <v>10004</v>
      </c>
      <c r="C4" s="2" t="s">
        <v>21</v>
      </c>
      <c r="D4" s="2" t="s">
        <v>33</v>
      </c>
      <c r="E4" s="2">
        <v>3174346016</v>
      </c>
      <c r="F4" s="2">
        <v>757564545</v>
      </c>
      <c r="G4" s="2" t="s">
        <v>22</v>
      </c>
      <c r="H4" s="4">
        <v>200100123456</v>
      </c>
      <c r="I4" s="2">
        <v>551</v>
      </c>
      <c r="J4" s="2" t="s">
        <v>23</v>
      </c>
      <c r="K4" s="2">
        <v>60</v>
      </c>
      <c r="L4" s="2">
        <v>1.66</v>
      </c>
      <c r="M4" s="2">
        <f t="shared" si="1"/>
        <v>99.6</v>
      </c>
      <c r="N4" s="2">
        <v>7847</v>
      </c>
      <c r="O4" s="2">
        <v>52204</v>
      </c>
      <c r="P4" s="2">
        <v>1</v>
      </c>
      <c r="Q4" s="2">
        <f t="shared" si="0"/>
        <v>60</v>
      </c>
    </row>
    <row r="5" spans="1:17" x14ac:dyDescent="0.25">
      <c r="A5" s="3" t="s">
        <v>49</v>
      </c>
      <c r="B5" s="2">
        <v>10005</v>
      </c>
      <c r="C5" s="2" t="s">
        <v>18</v>
      </c>
      <c r="D5" s="2" t="s">
        <v>33</v>
      </c>
      <c r="E5" s="2">
        <v>3174346016</v>
      </c>
      <c r="F5" s="2">
        <v>34664564</v>
      </c>
      <c r="G5" s="2" t="s">
        <v>19</v>
      </c>
      <c r="H5" s="4">
        <v>200100123456</v>
      </c>
      <c r="I5" s="2">
        <v>552</v>
      </c>
      <c r="J5" s="2" t="s">
        <v>20</v>
      </c>
      <c r="K5" s="2">
        <v>15.9</v>
      </c>
      <c r="L5" s="2">
        <v>1.66</v>
      </c>
      <c r="M5" s="2">
        <f t="shared" si="1"/>
        <v>26.393999999999998</v>
      </c>
      <c r="N5" s="2">
        <v>7848</v>
      </c>
      <c r="O5" s="2">
        <v>52205</v>
      </c>
      <c r="P5" s="2">
        <v>1</v>
      </c>
      <c r="Q5" s="2">
        <f>ROUND(K5*P5,2)</f>
        <v>15.9</v>
      </c>
    </row>
    <row r="6" spans="1:17" x14ac:dyDescent="0.25">
      <c r="A6" s="3" t="s">
        <v>50</v>
      </c>
      <c r="B6" s="2">
        <v>10006</v>
      </c>
      <c r="C6" s="2" t="s">
        <v>14</v>
      </c>
      <c r="D6" s="2" t="s">
        <v>33</v>
      </c>
      <c r="E6" s="2">
        <v>3174346016</v>
      </c>
      <c r="F6" s="2">
        <v>45468986</v>
      </c>
      <c r="G6" s="2" t="s">
        <v>15</v>
      </c>
      <c r="H6" s="4">
        <v>200100123456</v>
      </c>
      <c r="I6" s="2">
        <v>553</v>
      </c>
      <c r="J6" s="2" t="s">
        <v>16</v>
      </c>
      <c r="K6" s="2">
        <v>23.4</v>
      </c>
      <c r="L6" s="2">
        <v>1.66</v>
      </c>
      <c r="M6" s="2">
        <f t="shared" si="1"/>
        <v>38.843999999999994</v>
      </c>
      <c r="N6" s="2">
        <v>7849</v>
      </c>
      <c r="O6" s="2">
        <v>52206</v>
      </c>
      <c r="P6" s="2">
        <v>1</v>
      </c>
      <c r="Q6" s="2">
        <f t="shared" ref="Q6" si="2">ROUND(K6*P6,2)</f>
        <v>23.4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Ejm. Registro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Carla Carmen Herrera Perez</cp:lastModifiedBy>
  <cp:lastPrinted>2016-11-23T22:04:17Z</cp:lastPrinted>
  <dcterms:created xsi:type="dcterms:W3CDTF">2016-04-19T13:46:13Z</dcterms:created>
  <dcterms:modified xsi:type="dcterms:W3CDTF">2018-07-13T22:51:11Z</dcterms:modified>
</cp:coreProperties>
</file>