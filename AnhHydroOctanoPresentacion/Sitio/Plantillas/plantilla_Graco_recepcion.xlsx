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fernandez\Desktop\csv_Graco\"/>
    </mc:Choice>
  </mc:AlternateContent>
  <xr:revisionPtr revIDLastSave="0" documentId="13_ncr:1_{18D1BED0-8DB8-4F73-B85F-6D742E284AD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etalle de Recepciones" sheetId="13" r:id="rId1"/>
    <sheet name="ANEXO A" sheetId="19" r:id="rId2"/>
    <sheet name="Ejm. IngresoXCompra" sheetId="16" r:id="rId3"/>
    <sheet name="Ejm. IngresoXDemasia" sheetId="17" r:id="rId4"/>
  </sheets>
  <calcPr calcId="191029"/>
</workbook>
</file>

<file path=xl/calcChain.xml><?xml version="1.0" encoding="utf-8"?>
<calcChain xmlns="http://schemas.openxmlformats.org/spreadsheetml/2006/main">
  <c r="V7" i="13" l="1"/>
  <c r="V6" i="13"/>
  <c r="V5" i="13"/>
</calcChain>
</file>

<file path=xl/sharedStrings.xml><?xml version="1.0" encoding="utf-8"?>
<sst xmlns="http://schemas.openxmlformats.org/spreadsheetml/2006/main" count="213" uniqueCount="112">
  <si>
    <t>CANTIDAD</t>
  </si>
  <si>
    <t>PRECIO</t>
  </si>
  <si>
    <t>V</t>
  </si>
  <si>
    <t>NIT</t>
  </si>
  <si>
    <t>RAZON SOCIAL</t>
  </si>
  <si>
    <t>PRODUCTO</t>
  </si>
  <si>
    <t>RESPONSABLE</t>
  </si>
  <si>
    <t>NOID</t>
  </si>
  <si>
    <t>C.I. USUARIO</t>
  </si>
  <si>
    <t>CODIGO TANQUE CISTERNA</t>
  </si>
  <si>
    <t>IMPORTE</t>
  </si>
  <si>
    <t>TK</t>
  </si>
  <si>
    <t>ESTADO
V = VALIDO
A = ANULADO</t>
  </si>
  <si>
    <t>TIPO DE OPERACIÓN\COLUMNA CSV</t>
  </si>
  <si>
    <t>FECHA</t>
  </si>
  <si>
    <t>COPIA PLACA</t>
  </si>
  <si>
    <t>NO FACTURA</t>
  </si>
  <si>
    <t>TIPO INFRA RECEPTOR/DESPACHANTE NOID = NO IDENTIFICADO
TK = TANQUE
MN = MANGUERA</t>
  </si>
  <si>
    <t>347YHD</t>
  </si>
  <si>
    <t>TK-CS-003002</t>
  </si>
  <si>
    <t>GE</t>
  </si>
  <si>
    <t>YPFB</t>
  </si>
  <si>
    <t>AA-43-34-34</t>
  </si>
  <si>
    <t>TK-DO001</t>
  </si>
  <si>
    <t>958YUJ</t>
  </si>
  <si>
    <t>TK-CS-00367</t>
  </si>
  <si>
    <t>PRECINTOS</t>
  </si>
  <si>
    <t>485|486</t>
  </si>
  <si>
    <t>DO</t>
  </si>
  <si>
    <t xml:space="preserve">NUMERO REFERENCIA </t>
  </si>
  <si>
    <t>CI RESPONSABLE</t>
  </si>
  <si>
    <t>956YUY</t>
  </si>
  <si>
    <t>A34-434001</t>
  </si>
  <si>
    <t>95684|558</t>
  </si>
  <si>
    <t>11-23-AC-B1</t>
  </si>
  <si>
    <t>CHOFER X</t>
  </si>
  <si>
    <t>CODIGO CONTROL</t>
  </si>
  <si>
    <t>DOCUMENTO - FACTURA</t>
  </si>
  <si>
    <t>DOC - PRECINTOS</t>
  </si>
  <si>
    <t>DOCUMENTO - PRINCIPAL</t>
  </si>
  <si>
    <t>IDENTIFICADOR (PLACA)</t>
  </si>
  <si>
    <t>AUTORIZACION DE COMPRA LOCAL - SUSTANCIAS CONTROLADAS (ACL)</t>
  </si>
  <si>
    <t>DOC - SUST. CTRL.</t>
  </si>
  <si>
    <t>Texto</t>
  </si>
  <si>
    <t>PROYECTO ORIGEN           (RAZON SOCIAL)
NOID = NO IDENTIFICADO</t>
  </si>
  <si>
    <t>INGRESO X COMPRA</t>
  </si>
  <si>
    <t>INGRESO X DEMASIA</t>
  </si>
  <si>
    <t>INFRAESTRUCTURA RECEPTOR/DESPACHANTE NOID = NO IDENTIFICADO</t>
  </si>
  <si>
    <r>
      <t xml:space="preserve">Texto                         </t>
    </r>
    <r>
      <rPr>
        <b/>
        <sz val="9"/>
        <color theme="1"/>
        <rFont val="Calibri"/>
        <family val="2"/>
      </rPr>
      <t>Vacio si no aplica</t>
    </r>
  </si>
  <si>
    <r>
      <t xml:space="preserve">Texto                                              </t>
    </r>
    <r>
      <rPr>
        <b/>
        <sz val="9"/>
        <color theme="1"/>
        <rFont val="Calibri"/>
        <family val="2"/>
      </rPr>
      <t>Vacio si no aplica                               "|" Separador de Nros. De Precintos</t>
    </r>
  </si>
  <si>
    <r>
      <t xml:space="preserve">Numerico                   </t>
    </r>
    <r>
      <rPr>
        <b/>
        <sz val="9"/>
        <color theme="1"/>
        <rFont val="Calibri"/>
        <family val="2"/>
        <scheme val="minor"/>
      </rPr>
      <t>Separador decimal "." (Punto)</t>
    </r>
  </si>
  <si>
    <r>
      <t xml:space="preserve">Numerico                   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</si>
  <si>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Numerico                                 </t>
    </r>
    <r>
      <rPr>
        <b/>
        <sz val="9"/>
        <color theme="1"/>
        <rFont val="Calibri"/>
        <family val="2"/>
        <scheme val="minor"/>
      </rPr>
      <t>0 si no aplica                            Separador decimal "." (Punto)</t>
    </r>
  </si>
  <si>
    <r>
      <t xml:space="preserve">Numerico                              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</si>
  <si>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t>DOC. DESPACHO</t>
  </si>
  <si>
    <t>FECHA DESPACHO</t>
  </si>
  <si>
    <t>NRO DESPACHO</t>
  </si>
  <si>
    <t>NRO ORDEN</t>
  </si>
  <si>
    <t>CI CONDUCTOR</t>
  </si>
  <si>
    <t>VOLUMEN PLANTA</t>
  </si>
  <si>
    <t>CODIGO DE BARRAS</t>
  </si>
  <si>
    <r>
      <t xml:space="preserve">Numerico
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</si>
  <si>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t>FECHA EMISION</t>
  </si>
  <si>
    <r>
      <t xml:space="preserve">Texto
</t>
    </r>
    <r>
      <rPr>
        <b/>
        <sz val="9"/>
        <color theme="1"/>
        <rFont val="Calibri"/>
        <family val="2"/>
      </rPr>
      <t>Vacio si no aplica</t>
    </r>
  </si>
  <si>
    <t>(NRO/COD) AUTORIZACION</t>
  </si>
  <si>
    <t>E535CS35D5</t>
  </si>
  <si>
    <t>21/07/2026 07:10:41</t>
  </si>
  <si>
    <t>27/07/2026</t>
  </si>
  <si>
    <t>DEPARTAMENTO</t>
  </si>
  <si>
    <t>DENOMINACION PLANTA</t>
  </si>
  <si>
    <t>BENI</t>
  </si>
  <si>
    <t>CONSTRUCTORA SANCHES TRIPOLONI LTDA. SUC. BOLIVIA</t>
  </si>
  <si>
    <t>YPFB LOGISTICA S.A. "RIBERALTA"</t>
  </si>
  <si>
    <t>YPFB LOGISTICA S.A. "TRINIDAD"</t>
  </si>
  <si>
    <t>ZONA COMERCIAL GUAYARAMERIN</t>
  </si>
  <si>
    <t>CHUQUISACA</t>
  </si>
  <si>
    <t>YPFB LOGISTICA S.A. "MONTEAGUDO"</t>
  </si>
  <si>
    <t>YPFB LOGISTICA S.A. "QHORA QHORA"</t>
  </si>
  <si>
    <t>COCHABAMBA</t>
  </si>
  <si>
    <t>GOBIERNO AUTÓNOMO MUNICIPAL DE TIQUIPAYA</t>
  </si>
  <si>
    <t>YPFB LOGISTICA S.A. "PUERTO VILLARROEL"</t>
  </si>
  <si>
    <t>YPFB LOGISTICA S.A. "VALLE HERMOSO"</t>
  </si>
  <si>
    <t>LA PAZ</t>
  </si>
  <si>
    <t>YPFB LOGISTICA S.A. "SENKATA"</t>
  </si>
  <si>
    <t>ORURO</t>
  </si>
  <si>
    <t>YPFB LOGISTICA S.A. "SAN PEDRO"</t>
  </si>
  <si>
    <t>PANDO</t>
  </si>
  <si>
    <t>ZONA COMERCIAL COBIJA</t>
  </si>
  <si>
    <t>POTOSI</t>
  </si>
  <si>
    <t>YPFB LOGISTICA S.A. "POTOSÍ"</t>
  </si>
  <si>
    <t>YPFB LOGISTICA S.A. "TUPIZA"</t>
  </si>
  <si>
    <t>YPFB LOGISTICA S.A. "UYUNI"</t>
  </si>
  <si>
    <t>ZONA COMERCIAL VILLAZON</t>
  </si>
  <si>
    <t>SANTA CRUZ</t>
  </si>
  <si>
    <t>ALMACENES DE CARBURANTES SOCIEDAD ANONIMA ALCASA</t>
  </si>
  <si>
    <t>DISTRIBUIDORA DE CARBURANTES "DISCAR S.R.L."</t>
  </si>
  <si>
    <t>FREE PORT TERMINAL COMPANY LIMITED (BOLIVIA)</t>
  </si>
  <si>
    <t>GRAVETAL BOLIVIA S.A.</t>
  </si>
  <si>
    <t>YPFB LOGISTICA S.A. "CAMIRI"</t>
  </si>
  <si>
    <t>YPFB LOGISTICA S.A. "SAN JOSE DE CHIQUITOS"</t>
  </si>
  <si>
    <t>YPFB LOGISTICA S.A. "SANTA CRUZ"</t>
  </si>
  <si>
    <t>ZONA COMERCIAL PUERTO SUAREZ</t>
  </si>
  <si>
    <t>TARIJA</t>
  </si>
  <si>
    <t>ALMACENES DE CARBURANTES SOCIEDAD ANONIMA ALCASA - YACUIBA</t>
  </si>
  <si>
    <t>YPFB LOGISTICA S.A. "TARIJA"</t>
  </si>
  <si>
    <t>YPFB LOGISTICA S.A. "VILLAMONTES"</t>
  </si>
  <si>
    <t>ZONA COMERCIAL BERMEJO</t>
  </si>
  <si>
    <t>ZONA COMERCIAL YACUIBA</t>
  </si>
  <si>
    <t>22/07/2026 07:10:42</t>
  </si>
  <si>
    <t>23/07/2026 07:10:43</t>
  </si>
  <si>
    <t>28/07/2026</t>
  </si>
  <si>
    <t>07/07/2026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</si>
</sst>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0" xfId="0" applyFill="1" applyBorder="1"/>
    <xf numFmtId="1" fontId="0" fillId="0" borderId="1" xfId="0" applyNumberFormat="1" applyBorder="1"/>
    <xf numFmtId="0" fontId="0" fillId="3" borderId="1" xfId="0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/>
    <xf numFmtId="0" fontId="0" fillId="0" borderId="6" xfId="0" applyBorder="1"/>
    <xf numFmtId="1" fontId="0" fillId="0" borderId="6" xfId="0" applyNumberFormat="1" applyBorder="1"/>
    <xf numFmtId="49" fontId="3" fillId="6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 wrapText="1"/>
    </xf>
    <xf numFmtId="0" fontId="0" fillId="0" borderId="7" xfId="0" applyBorder="1"/>
    <xf numFmtId="164" fontId="0" fillId="0" borderId="1" xfId="0" applyNumberFormat="1" applyBorder="1"/>
    <xf numFmtId="14" fontId="0" fillId="0" borderId="1" xfId="0" applyNumberFormat="1" applyBorder="1"/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49" fontId="3" fillId="5" borderId="4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tabSelected="1" workbookViewId="0">
      <selection activeCell="E8" sqref="E8"/>
    </sheetView>
  </sheetViews>
  <sheetFormatPr baseColWidth="10" defaultColWidth="17.140625" defaultRowHeight="15" x14ac:dyDescent="0.25"/>
  <cols>
    <col min="1" max="1" width="34.42578125" style="1" customWidth="1"/>
    <col min="2" max="2" width="19.140625" style="1" customWidth="1"/>
    <col min="3" max="3" width="25.28515625" style="1" customWidth="1"/>
    <col min="4" max="4" width="24.42578125" style="1" customWidth="1"/>
    <col min="5" max="5" width="24.5703125" style="1" customWidth="1"/>
    <col min="6" max="9" width="17.140625" style="1"/>
    <col min="10" max="10" width="27.5703125" style="1" customWidth="1"/>
    <col min="11" max="11" width="17.140625" style="1"/>
    <col min="12" max="12" width="22.140625" style="1" customWidth="1"/>
    <col min="13" max="20" width="17.140625" style="1"/>
    <col min="21" max="22" width="22" style="1" customWidth="1"/>
    <col min="23" max="25" width="17.140625" style="1"/>
    <col min="26" max="26" width="22.140625" style="1" customWidth="1"/>
    <col min="27" max="16384" width="17.140625" style="1"/>
  </cols>
  <sheetData>
    <row r="1" spans="1:31" s="19" customFormat="1" x14ac:dyDescent="0.25">
      <c r="B1" s="20">
        <v>0</v>
      </c>
      <c r="C1" s="21">
        <v>1</v>
      </c>
      <c r="D1" s="20">
        <v>2</v>
      </c>
      <c r="E1" s="21">
        <v>3</v>
      </c>
      <c r="F1" s="20">
        <v>4</v>
      </c>
      <c r="G1" s="21">
        <v>5</v>
      </c>
      <c r="H1" s="20">
        <v>6</v>
      </c>
      <c r="I1" s="21">
        <v>7</v>
      </c>
      <c r="J1" s="20">
        <v>8</v>
      </c>
      <c r="K1" s="21">
        <v>9</v>
      </c>
      <c r="L1" s="20">
        <v>10</v>
      </c>
      <c r="M1" s="21">
        <v>11</v>
      </c>
      <c r="N1" s="20">
        <v>12</v>
      </c>
      <c r="O1" s="21">
        <v>13</v>
      </c>
      <c r="P1" s="20">
        <v>14</v>
      </c>
      <c r="Q1" s="21">
        <v>15</v>
      </c>
      <c r="R1" s="20">
        <v>16</v>
      </c>
      <c r="S1" s="21">
        <v>17</v>
      </c>
      <c r="T1" s="20">
        <v>18</v>
      </c>
      <c r="U1" s="21">
        <v>19</v>
      </c>
      <c r="V1" s="20">
        <v>20</v>
      </c>
      <c r="W1" s="21">
        <v>21</v>
      </c>
      <c r="X1" s="20">
        <v>22</v>
      </c>
      <c r="Y1" s="23">
        <v>23</v>
      </c>
      <c r="Z1" s="23">
        <v>24</v>
      </c>
      <c r="AA1" s="23">
        <v>25</v>
      </c>
      <c r="AB1" s="23">
        <v>26</v>
      </c>
      <c r="AC1" s="23">
        <v>27</v>
      </c>
      <c r="AD1" s="23">
        <v>28</v>
      </c>
      <c r="AE1" s="23">
        <v>29</v>
      </c>
    </row>
    <row r="2" spans="1:31" ht="121.5" customHeight="1" x14ac:dyDescent="0.25">
      <c r="A2" s="11" t="s">
        <v>13</v>
      </c>
      <c r="B2" s="12" t="s">
        <v>14</v>
      </c>
      <c r="C2" s="12" t="s">
        <v>44</v>
      </c>
      <c r="D2" s="13" t="s">
        <v>17</v>
      </c>
      <c r="E2" s="13" t="s">
        <v>47</v>
      </c>
      <c r="F2" s="13" t="s">
        <v>40</v>
      </c>
      <c r="G2" s="13" t="s">
        <v>15</v>
      </c>
      <c r="H2" s="13" t="s">
        <v>60</v>
      </c>
      <c r="I2" s="13" t="s">
        <v>9</v>
      </c>
      <c r="J2" s="13" t="s">
        <v>26</v>
      </c>
      <c r="K2" s="13" t="s">
        <v>5</v>
      </c>
      <c r="L2" s="13" t="s">
        <v>0</v>
      </c>
      <c r="M2" s="13" t="s">
        <v>12</v>
      </c>
      <c r="N2" s="13" t="s">
        <v>8</v>
      </c>
      <c r="O2" s="13" t="s">
        <v>3</v>
      </c>
      <c r="P2" s="13" t="s">
        <v>4</v>
      </c>
      <c r="Q2" s="22" t="s">
        <v>62</v>
      </c>
      <c r="R2" s="13" t="s">
        <v>16</v>
      </c>
      <c r="S2" s="14" t="s">
        <v>64</v>
      </c>
      <c r="T2" s="13" t="s">
        <v>36</v>
      </c>
      <c r="U2" s="13" t="s">
        <v>1</v>
      </c>
      <c r="V2" s="13" t="s">
        <v>10</v>
      </c>
      <c r="W2" s="13" t="s">
        <v>29</v>
      </c>
      <c r="X2" s="13" t="s">
        <v>6</v>
      </c>
      <c r="Y2" s="13" t="s">
        <v>30</v>
      </c>
      <c r="Z2" s="13" t="s">
        <v>41</v>
      </c>
      <c r="AA2" s="22" t="s">
        <v>55</v>
      </c>
      <c r="AB2" s="22" t="s">
        <v>56</v>
      </c>
      <c r="AC2" s="22" t="s">
        <v>57</v>
      </c>
      <c r="AD2" s="22" t="s">
        <v>58</v>
      </c>
      <c r="AE2" s="22" t="s">
        <v>59</v>
      </c>
    </row>
    <row r="3" spans="1:31" ht="42.75" customHeight="1" x14ac:dyDescent="0.25">
      <c r="A3" s="11"/>
      <c r="B3" s="12" t="s">
        <v>43</v>
      </c>
      <c r="C3" s="12" t="s">
        <v>43</v>
      </c>
      <c r="D3" s="12" t="s">
        <v>43</v>
      </c>
      <c r="E3" s="12" t="s">
        <v>43</v>
      </c>
      <c r="F3" s="12" t="s">
        <v>48</v>
      </c>
      <c r="G3" s="12" t="s">
        <v>48</v>
      </c>
      <c r="H3" s="13" t="s">
        <v>61</v>
      </c>
      <c r="I3" s="12" t="s">
        <v>48</v>
      </c>
      <c r="J3" s="12" t="s">
        <v>49</v>
      </c>
      <c r="K3" s="12" t="s">
        <v>43</v>
      </c>
      <c r="L3" s="13" t="s">
        <v>50</v>
      </c>
      <c r="M3" s="12" t="s">
        <v>43</v>
      </c>
      <c r="N3" s="12" t="s">
        <v>43</v>
      </c>
      <c r="O3" s="13" t="s">
        <v>51</v>
      </c>
      <c r="P3" s="12" t="s">
        <v>48</v>
      </c>
      <c r="Q3" s="12" t="s">
        <v>63</v>
      </c>
      <c r="R3" s="13" t="s">
        <v>51</v>
      </c>
      <c r="S3" s="13" t="s">
        <v>51</v>
      </c>
      <c r="T3" s="12" t="s">
        <v>48</v>
      </c>
      <c r="U3" s="13" t="s">
        <v>52</v>
      </c>
      <c r="V3" s="13" t="s">
        <v>52</v>
      </c>
      <c r="W3" s="12" t="s">
        <v>43</v>
      </c>
      <c r="X3" s="12" t="s">
        <v>48</v>
      </c>
      <c r="Y3" s="13" t="s">
        <v>51</v>
      </c>
      <c r="Z3" s="13" t="s">
        <v>53</v>
      </c>
      <c r="AA3" s="12" t="s">
        <v>48</v>
      </c>
      <c r="AB3" s="12" t="s">
        <v>48</v>
      </c>
      <c r="AC3" s="13" t="s">
        <v>51</v>
      </c>
      <c r="AD3" s="12" t="s">
        <v>48</v>
      </c>
      <c r="AE3" s="13" t="s">
        <v>51</v>
      </c>
    </row>
    <row r="4" spans="1:31" s="4" customFormat="1" ht="18" customHeight="1" x14ac:dyDescent="0.25">
      <c r="A4" s="8"/>
      <c r="B4" s="9"/>
      <c r="C4" s="9"/>
      <c r="D4" s="10"/>
      <c r="E4" s="10"/>
      <c r="F4" s="10"/>
      <c r="G4" s="10"/>
      <c r="H4" s="10"/>
      <c r="I4" s="10"/>
      <c r="J4" s="7" t="s">
        <v>38</v>
      </c>
      <c r="K4" s="10"/>
      <c r="L4" s="10"/>
      <c r="M4" s="10"/>
      <c r="N4" s="10"/>
      <c r="O4" s="28" t="s">
        <v>37</v>
      </c>
      <c r="P4" s="29"/>
      <c r="Q4" s="29"/>
      <c r="R4" s="29"/>
      <c r="S4" s="29"/>
      <c r="T4" s="29"/>
      <c r="U4" s="29"/>
      <c r="V4" s="30"/>
      <c r="W4" s="31" t="s">
        <v>39</v>
      </c>
      <c r="X4" s="32"/>
      <c r="Y4" s="33"/>
      <c r="Z4" s="18" t="s">
        <v>42</v>
      </c>
      <c r="AA4" s="35" t="s">
        <v>54</v>
      </c>
      <c r="AB4" s="36"/>
      <c r="AC4" s="36"/>
      <c r="AD4" s="36"/>
      <c r="AE4" s="37"/>
    </row>
    <row r="5" spans="1:31" x14ac:dyDescent="0.25">
      <c r="A5" s="34" t="s">
        <v>45</v>
      </c>
      <c r="B5" s="15" t="s">
        <v>66</v>
      </c>
      <c r="C5" s="16" t="s">
        <v>83</v>
      </c>
      <c r="D5" s="16" t="s">
        <v>11</v>
      </c>
      <c r="E5" s="16" t="s">
        <v>7</v>
      </c>
      <c r="F5" s="16" t="s">
        <v>18</v>
      </c>
      <c r="G5" s="16">
        <v>1</v>
      </c>
      <c r="H5" s="16">
        <v>6800001254</v>
      </c>
      <c r="I5" s="16" t="s">
        <v>19</v>
      </c>
      <c r="J5" s="16" t="s">
        <v>27</v>
      </c>
      <c r="K5" s="16" t="s">
        <v>20</v>
      </c>
      <c r="L5" s="16">
        <v>10000</v>
      </c>
      <c r="M5" s="16" t="s">
        <v>2</v>
      </c>
      <c r="N5" s="16">
        <v>84956648</v>
      </c>
      <c r="O5" s="16">
        <v>5008495677</v>
      </c>
      <c r="P5" s="16" t="s">
        <v>21</v>
      </c>
      <c r="Q5" s="15" t="s">
        <v>67</v>
      </c>
      <c r="R5" s="16">
        <v>1250</v>
      </c>
      <c r="S5" s="17">
        <v>3535353535</v>
      </c>
      <c r="T5" s="16" t="s">
        <v>22</v>
      </c>
      <c r="U5" s="16">
        <v>6.96</v>
      </c>
      <c r="V5" s="16">
        <f>L5*U5</f>
        <v>69600</v>
      </c>
      <c r="W5" s="16">
        <v>464</v>
      </c>
      <c r="X5" s="16" t="s">
        <v>35</v>
      </c>
      <c r="Y5" s="16">
        <v>4676868</v>
      </c>
      <c r="Z5" s="16">
        <v>65487</v>
      </c>
      <c r="AA5" s="15" t="s">
        <v>67</v>
      </c>
      <c r="AB5" s="2">
        <v>95</v>
      </c>
      <c r="AC5" s="2">
        <v>1</v>
      </c>
      <c r="AD5" s="2">
        <v>98578896</v>
      </c>
      <c r="AE5" s="16">
        <v>10000</v>
      </c>
    </row>
    <row r="6" spans="1:31" x14ac:dyDescent="0.25">
      <c r="A6" s="34"/>
      <c r="B6" s="15" t="s">
        <v>108</v>
      </c>
      <c r="C6" s="2" t="s">
        <v>98</v>
      </c>
      <c r="D6" s="2" t="s">
        <v>11</v>
      </c>
      <c r="E6" s="2" t="s">
        <v>23</v>
      </c>
      <c r="F6" s="2" t="s">
        <v>24</v>
      </c>
      <c r="G6" s="2"/>
      <c r="H6" s="2">
        <v>6800002185</v>
      </c>
      <c r="I6" s="2" t="s">
        <v>25</v>
      </c>
      <c r="J6" s="2">
        <v>69854</v>
      </c>
      <c r="K6" s="2" t="s">
        <v>28</v>
      </c>
      <c r="L6" s="2">
        <v>4850</v>
      </c>
      <c r="M6" s="2" t="s">
        <v>2</v>
      </c>
      <c r="N6" s="2">
        <v>8985654</v>
      </c>
      <c r="O6" s="2">
        <v>5008495677</v>
      </c>
      <c r="P6" s="2" t="s">
        <v>21</v>
      </c>
      <c r="Q6" s="15" t="s">
        <v>67</v>
      </c>
      <c r="R6" s="2">
        <v>2368</v>
      </c>
      <c r="S6" s="5" t="s">
        <v>65</v>
      </c>
      <c r="T6" s="2"/>
      <c r="U6" s="2">
        <v>3.52</v>
      </c>
      <c r="V6" s="2">
        <f>L6*U6</f>
        <v>17072</v>
      </c>
      <c r="W6" s="2">
        <v>465</v>
      </c>
      <c r="X6" s="2" t="s">
        <v>35</v>
      </c>
      <c r="Y6" s="2">
        <v>4676868</v>
      </c>
      <c r="Z6" s="2">
        <v>0</v>
      </c>
      <c r="AA6" s="15" t="s">
        <v>67</v>
      </c>
      <c r="AB6" s="2">
        <v>87</v>
      </c>
      <c r="AC6" s="2">
        <v>2</v>
      </c>
      <c r="AD6" s="2">
        <v>1255847</v>
      </c>
      <c r="AE6" s="2">
        <v>4850</v>
      </c>
    </row>
    <row r="7" spans="1:31" x14ac:dyDescent="0.25">
      <c r="A7" s="34"/>
      <c r="B7" s="15" t="s">
        <v>109</v>
      </c>
      <c r="C7" s="2" t="s">
        <v>99</v>
      </c>
      <c r="D7" s="2" t="s">
        <v>11</v>
      </c>
      <c r="E7" s="2" t="s">
        <v>7</v>
      </c>
      <c r="F7" s="2" t="s">
        <v>31</v>
      </c>
      <c r="G7" s="2"/>
      <c r="H7" s="2">
        <v>6800000411</v>
      </c>
      <c r="I7" s="2" t="s">
        <v>32</v>
      </c>
      <c r="J7" s="2" t="s">
        <v>33</v>
      </c>
      <c r="K7" s="2" t="s">
        <v>20</v>
      </c>
      <c r="L7" s="2">
        <v>7584</v>
      </c>
      <c r="M7" s="2" t="s">
        <v>2</v>
      </c>
      <c r="N7" s="2">
        <v>46464656</v>
      </c>
      <c r="O7" s="2">
        <v>5008495677</v>
      </c>
      <c r="P7" s="2" t="s">
        <v>21</v>
      </c>
      <c r="Q7" s="15" t="s">
        <v>110</v>
      </c>
      <c r="R7" s="2">
        <v>1254</v>
      </c>
      <c r="S7" s="5">
        <v>3535353535</v>
      </c>
      <c r="T7" s="2" t="s">
        <v>34</v>
      </c>
      <c r="U7" s="2">
        <v>3.99</v>
      </c>
      <c r="V7" s="2">
        <f>L7*U7</f>
        <v>30260.16</v>
      </c>
      <c r="W7" s="2">
        <v>466</v>
      </c>
      <c r="X7" s="2" t="s">
        <v>35</v>
      </c>
      <c r="Y7" s="2">
        <v>4676868</v>
      </c>
      <c r="Z7" s="2">
        <v>0</v>
      </c>
      <c r="AA7" s="15" t="s">
        <v>110</v>
      </c>
      <c r="AB7" s="2">
        <v>8457</v>
      </c>
      <c r="AC7" s="2">
        <v>3</v>
      </c>
      <c r="AD7" s="2">
        <v>9588777</v>
      </c>
      <c r="AE7" s="2">
        <v>7584</v>
      </c>
    </row>
    <row r="8" spans="1:31" x14ac:dyDescent="0.25">
      <c r="A8" s="6" t="s">
        <v>46</v>
      </c>
      <c r="B8" s="3" t="s">
        <v>111</v>
      </c>
      <c r="C8" s="2" t="s">
        <v>7</v>
      </c>
      <c r="D8" s="2" t="s">
        <v>11</v>
      </c>
      <c r="E8" s="16" t="s">
        <v>7</v>
      </c>
      <c r="F8" s="2"/>
      <c r="G8" s="2"/>
      <c r="H8" s="2">
        <v>0</v>
      </c>
      <c r="I8" s="2"/>
      <c r="J8" s="2"/>
      <c r="K8" s="2" t="s">
        <v>20</v>
      </c>
      <c r="L8" s="2">
        <v>100</v>
      </c>
      <c r="M8" s="2" t="s">
        <v>2</v>
      </c>
      <c r="N8" s="2">
        <v>46464656</v>
      </c>
      <c r="O8" s="2">
        <v>0</v>
      </c>
      <c r="P8" s="2"/>
      <c r="Q8" s="2"/>
      <c r="R8" s="2">
        <v>0</v>
      </c>
      <c r="S8" s="5">
        <v>0</v>
      </c>
      <c r="T8" s="2"/>
      <c r="U8" s="2">
        <v>0</v>
      </c>
      <c r="V8" s="2">
        <v>0</v>
      </c>
      <c r="W8" s="2">
        <v>9548</v>
      </c>
      <c r="X8" s="2"/>
      <c r="Y8" s="2">
        <v>0</v>
      </c>
      <c r="Z8" s="2">
        <v>0</v>
      </c>
      <c r="AA8" s="3"/>
      <c r="AB8" s="2"/>
      <c r="AC8" s="2">
        <v>0</v>
      </c>
      <c r="AD8" s="2"/>
      <c r="AE8" s="2">
        <v>0</v>
      </c>
    </row>
  </sheetData>
  <mergeCells count="4">
    <mergeCell ref="O4:V4"/>
    <mergeCell ref="W4:Y4"/>
    <mergeCell ref="A5:A7"/>
    <mergeCell ref="AA4:AE4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B991-FB8C-4447-9E6D-26CC516CDCAF}">
  <dimension ref="A1:B31"/>
  <sheetViews>
    <sheetView workbookViewId="0">
      <selection activeCell="B23" sqref="B23"/>
    </sheetView>
  </sheetViews>
  <sheetFormatPr baseColWidth="10" defaultRowHeight="15" x14ac:dyDescent="0.25"/>
  <cols>
    <col min="1" max="1" width="16.5703125" customWidth="1"/>
    <col min="2" max="2" width="64.7109375" bestFit="1" customWidth="1"/>
  </cols>
  <sheetData>
    <row r="1" spans="1:2" ht="46.5" thickTop="1" thickBot="1" x14ac:dyDescent="0.3">
      <c r="A1" s="24" t="s">
        <v>68</v>
      </c>
      <c r="B1" s="24" t="s">
        <v>69</v>
      </c>
    </row>
    <row r="2" spans="1:2" ht="16.5" thickTop="1" thickBot="1" x14ac:dyDescent="0.3">
      <c r="A2" s="25" t="s">
        <v>70</v>
      </c>
      <c r="B2" s="25" t="s">
        <v>71</v>
      </c>
    </row>
    <row r="3" spans="1:2" ht="16.5" thickTop="1" thickBot="1" x14ac:dyDescent="0.3">
      <c r="A3" s="25" t="s">
        <v>70</v>
      </c>
      <c r="B3" s="25" t="s">
        <v>72</v>
      </c>
    </row>
    <row r="4" spans="1:2" ht="16.5" thickTop="1" thickBot="1" x14ac:dyDescent="0.3">
      <c r="A4" s="25" t="s">
        <v>70</v>
      </c>
      <c r="B4" s="25" t="s">
        <v>73</v>
      </c>
    </row>
    <row r="5" spans="1:2" ht="16.5" thickTop="1" thickBot="1" x14ac:dyDescent="0.3">
      <c r="A5" s="25" t="s">
        <v>70</v>
      </c>
      <c r="B5" s="25" t="s">
        <v>74</v>
      </c>
    </row>
    <row r="6" spans="1:2" ht="16.5" thickTop="1" thickBot="1" x14ac:dyDescent="0.3">
      <c r="A6" s="25" t="s">
        <v>75</v>
      </c>
      <c r="B6" s="25" t="s">
        <v>76</v>
      </c>
    </row>
    <row r="7" spans="1:2" ht="16.5" thickTop="1" thickBot="1" x14ac:dyDescent="0.3">
      <c r="A7" s="25" t="s">
        <v>75</v>
      </c>
      <c r="B7" s="25" t="s">
        <v>77</v>
      </c>
    </row>
    <row r="8" spans="1:2" ht="16.5" thickTop="1" thickBot="1" x14ac:dyDescent="0.3">
      <c r="A8" s="25" t="s">
        <v>78</v>
      </c>
      <c r="B8" s="25" t="s">
        <v>79</v>
      </c>
    </row>
    <row r="9" spans="1:2" ht="16.5" thickTop="1" thickBot="1" x14ac:dyDescent="0.3">
      <c r="A9" s="25" t="s">
        <v>78</v>
      </c>
      <c r="B9" s="25" t="s">
        <v>80</v>
      </c>
    </row>
    <row r="10" spans="1:2" ht="16.5" thickTop="1" thickBot="1" x14ac:dyDescent="0.3">
      <c r="A10" s="25" t="s">
        <v>78</v>
      </c>
      <c r="B10" s="25" t="s">
        <v>81</v>
      </c>
    </row>
    <row r="11" spans="1:2" ht="16.5" thickTop="1" thickBot="1" x14ac:dyDescent="0.3">
      <c r="A11" s="25" t="s">
        <v>82</v>
      </c>
      <c r="B11" s="25" t="s">
        <v>83</v>
      </c>
    </row>
    <row r="12" spans="1:2" ht="16.5" thickTop="1" thickBot="1" x14ac:dyDescent="0.3">
      <c r="A12" s="25" t="s">
        <v>84</v>
      </c>
      <c r="B12" s="25" t="s">
        <v>85</v>
      </c>
    </row>
    <row r="13" spans="1:2" ht="16.5" thickTop="1" thickBot="1" x14ac:dyDescent="0.3">
      <c r="A13" s="25" t="s">
        <v>86</v>
      </c>
      <c r="B13" s="25" t="s">
        <v>87</v>
      </c>
    </row>
    <row r="14" spans="1:2" ht="16.5" thickTop="1" thickBot="1" x14ac:dyDescent="0.3">
      <c r="A14" s="25" t="s">
        <v>88</v>
      </c>
      <c r="B14" s="25" t="s">
        <v>89</v>
      </c>
    </row>
    <row r="15" spans="1:2" ht="16.5" thickTop="1" thickBot="1" x14ac:dyDescent="0.3">
      <c r="A15" s="25" t="s">
        <v>88</v>
      </c>
      <c r="B15" s="25" t="s">
        <v>90</v>
      </c>
    </row>
    <row r="16" spans="1:2" ht="16.5" thickTop="1" thickBot="1" x14ac:dyDescent="0.3">
      <c r="A16" s="25" t="s">
        <v>88</v>
      </c>
      <c r="B16" s="25" t="s">
        <v>91</v>
      </c>
    </row>
    <row r="17" spans="1:2" ht="16.5" thickTop="1" thickBot="1" x14ac:dyDescent="0.3">
      <c r="A17" s="25" t="s">
        <v>88</v>
      </c>
      <c r="B17" s="25" t="s">
        <v>92</v>
      </c>
    </row>
    <row r="18" spans="1:2" ht="16.5" thickTop="1" thickBot="1" x14ac:dyDescent="0.3">
      <c r="A18" s="25" t="s">
        <v>93</v>
      </c>
      <c r="B18" s="25" t="s">
        <v>94</v>
      </c>
    </row>
    <row r="19" spans="1:2" ht="16.5" thickTop="1" thickBot="1" x14ac:dyDescent="0.3">
      <c r="A19" s="25" t="s">
        <v>93</v>
      </c>
      <c r="B19" s="25" t="s">
        <v>95</v>
      </c>
    </row>
    <row r="20" spans="1:2" ht="16.5" thickTop="1" thickBot="1" x14ac:dyDescent="0.3">
      <c r="A20" s="25" t="s">
        <v>93</v>
      </c>
      <c r="B20" s="25" t="s">
        <v>96</v>
      </c>
    </row>
    <row r="21" spans="1:2" ht="16.5" thickTop="1" thickBot="1" x14ac:dyDescent="0.3">
      <c r="A21" s="25" t="s">
        <v>93</v>
      </c>
      <c r="B21" s="25" t="s">
        <v>97</v>
      </c>
    </row>
    <row r="22" spans="1:2" ht="16.5" thickTop="1" thickBot="1" x14ac:dyDescent="0.3">
      <c r="A22" s="25" t="s">
        <v>93</v>
      </c>
      <c r="B22" s="25" t="s">
        <v>98</v>
      </c>
    </row>
    <row r="23" spans="1:2" ht="16.5" thickTop="1" thickBot="1" x14ac:dyDescent="0.3">
      <c r="A23" s="25" t="s">
        <v>93</v>
      </c>
      <c r="B23" s="25" t="s">
        <v>99</v>
      </c>
    </row>
    <row r="24" spans="1:2" ht="16.5" thickTop="1" thickBot="1" x14ac:dyDescent="0.3">
      <c r="A24" s="25" t="s">
        <v>93</v>
      </c>
      <c r="B24" s="25" t="s">
        <v>100</v>
      </c>
    </row>
    <row r="25" spans="1:2" ht="16.5" thickTop="1" thickBot="1" x14ac:dyDescent="0.3">
      <c r="A25" s="25" t="s">
        <v>93</v>
      </c>
      <c r="B25" s="25" t="s">
        <v>101</v>
      </c>
    </row>
    <row r="26" spans="1:2" ht="16.5" thickTop="1" thickBot="1" x14ac:dyDescent="0.3">
      <c r="A26" s="25" t="s">
        <v>102</v>
      </c>
      <c r="B26" s="25" t="s">
        <v>103</v>
      </c>
    </row>
    <row r="27" spans="1:2" ht="16.5" thickTop="1" thickBot="1" x14ac:dyDescent="0.3">
      <c r="A27" s="25" t="s">
        <v>102</v>
      </c>
      <c r="B27" s="25" t="s">
        <v>104</v>
      </c>
    </row>
    <row r="28" spans="1:2" ht="16.5" thickTop="1" thickBot="1" x14ac:dyDescent="0.3">
      <c r="A28" s="25" t="s">
        <v>102</v>
      </c>
      <c r="B28" s="25" t="s">
        <v>105</v>
      </c>
    </row>
    <row r="29" spans="1:2" ht="16.5" thickTop="1" thickBot="1" x14ac:dyDescent="0.3">
      <c r="A29" s="25" t="s">
        <v>102</v>
      </c>
      <c r="B29" s="25" t="s">
        <v>106</v>
      </c>
    </row>
    <row r="30" spans="1:2" ht="16.5" thickTop="1" thickBot="1" x14ac:dyDescent="0.3">
      <c r="A30" s="25" t="s">
        <v>102</v>
      </c>
      <c r="B30" s="25" t="s">
        <v>107</v>
      </c>
    </row>
    <row r="31" spans="1:2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"/>
  <sheetViews>
    <sheetView workbookViewId="0">
      <selection activeCell="J11" sqref="J11"/>
    </sheetView>
  </sheetViews>
  <sheetFormatPr baseColWidth="10" defaultRowHeight="15" x14ac:dyDescent="0.25"/>
  <cols>
    <col min="1" max="1" width="24.7109375" customWidth="1"/>
    <col min="7" max="7" width="16.42578125" style="1" customWidth="1"/>
    <col min="16" max="16" width="11.42578125" style="1"/>
  </cols>
  <sheetData>
    <row r="1" spans="1:30" x14ac:dyDescent="0.25">
      <c r="A1" s="26">
        <v>46224.299085648148</v>
      </c>
      <c r="B1" s="2" t="s">
        <v>83</v>
      </c>
      <c r="C1" s="2" t="s">
        <v>11</v>
      </c>
      <c r="D1" s="2" t="s">
        <v>7</v>
      </c>
      <c r="E1" s="2" t="s">
        <v>18</v>
      </c>
      <c r="F1" s="2">
        <v>1</v>
      </c>
      <c r="G1" s="2">
        <v>6800001254</v>
      </c>
      <c r="H1" s="2" t="s">
        <v>19</v>
      </c>
      <c r="I1" s="2" t="s">
        <v>27</v>
      </c>
      <c r="J1" s="2" t="s">
        <v>20</v>
      </c>
      <c r="K1" s="2">
        <v>10000</v>
      </c>
      <c r="L1" s="2" t="s">
        <v>2</v>
      </c>
      <c r="M1" s="2">
        <v>84956648</v>
      </c>
      <c r="N1" s="2">
        <v>5008495677</v>
      </c>
      <c r="O1" s="2" t="s">
        <v>21</v>
      </c>
      <c r="P1" s="27">
        <v>46230</v>
      </c>
      <c r="Q1" s="2">
        <v>1250</v>
      </c>
      <c r="R1" s="2">
        <v>3535353535</v>
      </c>
      <c r="S1" s="2" t="s">
        <v>22</v>
      </c>
      <c r="T1" s="2">
        <v>6.96</v>
      </c>
      <c r="U1" s="2">
        <v>69600</v>
      </c>
      <c r="V1" s="2">
        <v>464</v>
      </c>
      <c r="W1" s="2" t="s">
        <v>35</v>
      </c>
      <c r="X1" s="2">
        <v>4676868</v>
      </c>
      <c r="Y1" s="2">
        <v>65487</v>
      </c>
      <c r="Z1" s="27">
        <v>46230</v>
      </c>
      <c r="AA1" s="2">
        <v>95</v>
      </c>
      <c r="AB1" s="2">
        <v>1</v>
      </c>
      <c r="AC1" s="2">
        <v>98578896</v>
      </c>
      <c r="AD1" s="2">
        <v>10000</v>
      </c>
    </row>
    <row r="2" spans="1:30" x14ac:dyDescent="0.25">
      <c r="A2" s="26">
        <v>46225.299097222225</v>
      </c>
      <c r="B2" s="2" t="s">
        <v>98</v>
      </c>
      <c r="C2" s="2" t="s">
        <v>11</v>
      </c>
      <c r="D2" s="2" t="s">
        <v>7</v>
      </c>
      <c r="E2" s="2" t="s">
        <v>24</v>
      </c>
      <c r="F2" s="2"/>
      <c r="G2" s="2">
        <v>6800002185</v>
      </c>
      <c r="H2" s="2" t="s">
        <v>25</v>
      </c>
      <c r="I2" s="2">
        <v>69854</v>
      </c>
      <c r="J2" s="2" t="s">
        <v>28</v>
      </c>
      <c r="K2" s="2">
        <v>4850</v>
      </c>
      <c r="L2" s="2" t="s">
        <v>2</v>
      </c>
      <c r="M2" s="2">
        <v>8985654</v>
      </c>
      <c r="N2" s="2">
        <v>5008495677</v>
      </c>
      <c r="O2" s="2" t="s">
        <v>21</v>
      </c>
      <c r="P2" s="27">
        <v>46230</v>
      </c>
      <c r="Q2" s="2">
        <v>2368</v>
      </c>
      <c r="R2" s="2" t="s">
        <v>65</v>
      </c>
      <c r="S2" s="2"/>
      <c r="T2" s="2">
        <v>3.52</v>
      </c>
      <c r="U2" s="2">
        <v>17072</v>
      </c>
      <c r="V2" s="2">
        <v>465</v>
      </c>
      <c r="W2" s="2" t="s">
        <v>35</v>
      </c>
      <c r="X2" s="2">
        <v>4676868</v>
      </c>
      <c r="Y2" s="2">
        <v>0</v>
      </c>
      <c r="Z2" s="27">
        <v>46230</v>
      </c>
      <c r="AA2" s="2">
        <v>87</v>
      </c>
      <c r="AB2" s="2">
        <v>2</v>
      </c>
      <c r="AC2" s="2">
        <v>1255847</v>
      </c>
      <c r="AD2" s="2">
        <v>4850</v>
      </c>
    </row>
    <row r="3" spans="1:30" x14ac:dyDescent="0.25">
      <c r="A3" s="26">
        <v>46226.299108796295</v>
      </c>
      <c r="B3" s="2" t="s">
        <v>99</v>
      </c>
      <c r="C3" s="2" t="s">
        <v>11</v>
      </c>
      <c r="D3" s="2" t="s">
        <v>7</v>
      </c>
      <c r="E3" s="2" t="s">
        <v>31</v>
      </c>
      <c r="F3" s="2"/>
      <c r="G3" s="2">
        <v>6800000411</v>
      </c>
      <c r="H3" s="2" t="s">
        <v>32</v>
      </c>
      <c r="I3" s="2" t="s">
        <v>33</v>
      </c>
      <c r="J3" s="2" t="s">
        <v>20</v>
      </c>
      <c r="K3" s="2">
        <v>7584</v>
      </c>
      <c r="L3" s="2" t="s">
        <v>2</v>
      </c>
      <c r="M3" s="2">
        <v>46464656</v>
      </c>
      <c r="N3" s="2">
        <v>5008495677</v>
      </c>
      <c r="O3" s="2" t="s">
        <v>21</v>
      </c>
      <c r="P3" s="27">
        <v>46231</v>
      </c>
      <c r="Q3" s="2">
        <v>1254</v>
      </c>
      <c r="R3" s="2">
        <v>3535353535</v>
      </c>
      <c r="S3" s="2" t="s">
        <v>34</v>
      </c>
      <c r="T3" s="2">
        <v>3.99</v>
      </c>
      <c r="U3" s="2">
        <v>30260.16</v>
      </c>
      <c r="V3" s="2">
        <v>466</v>
      </c>
      <c r="W3" s="2" t="s">
        <v>35</v>
      </c>
      <c r="X3" s="2">
        <v>4676868</v>
      </c>
      <c r="Y3" s="2">
        <v>0</v>
      </c>
      <c r="Z3" s="27">
        <v>46231</v>
      </c>
      <c r="AA3" s="2">
        <v>8457</v>
      </c>
      <c r="AB3" s="2">
        <v>3</v>
      </c>
      <c r="AC3" s="2">
        <v>9588777</v>
      </c>
      <c r="AD3" s="2">
        <v>7584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"/>
  <sheetViews>
    <sheetView workbookViewId="0">
      <selection activeCell="C37" sqref="C37"/>
    </sheetView>
  </sheetViews>
  <sheetFormatPr baseColWidth="10" defaultRowHeight="15" x14ac:dyDescent="0.25"/>
  <cols>
    <col min="1" max="1" width="13.140625" customWidth="1"/>
    <col min="7" max="7" width="11.42578125" style="1"/>
    <col min="16" max="16" width="11.42578125" style="1"/>
  </cols>
  <sheetData>
    <row r="1" spans="1:30" x14ac:dyDescent="0.25">
      <c r="A1" s="3" t="s">
        <v>111</v>
      </c>
      <c r="B1" s="2" t="s">
        <v>7</v>
      </c>
      <c r="C1" s="2" t="s">
        <v>11</v>
      </c>
      <c r="D1" s="16" t="s">
        <v>7</v>
      </c>
      <c r="E1" s="2"/>
      <c r="F1" s="2"/>
      <c r="G1" s="2">
        <v>0</v>
      </c>
      <c r="H1" s="2"/>
      <c r="I1" s="2"/>
      <c r="J1" s="2" t="s">
        <v>20</v>
      </c>
      <c r="K1" s="2">
        <v>100</v>
      </c>
      <c r="L1" s="2" t="s">
        <v>2</v>
      </c>
      <c r="M1" s="2">
        <v>46464656</v>
      </c>
      <c r="N1" s="2">
        <v>0</v>
      </c>
      <c r="O1" s="2"/>
      <c r="P1" s="2"/>
      <c r="Q1" s="2">
        <v>0</v>
      </c>
      <c r="R1" s="5">
        <v>0</v>
      </c>
      <c r="S1" s="2"/>
      <c r="T1" s="2">
        <v>0</v>
      </c>
      <c r="U1" s="2">
        <v>0</v>
      </c>
      <c r="V1" s="2">
        <v>9548</v>
      </c>
      <c r="W1" s="2"/>
      <c r="X1" s="2">
        <v>0</v>
      </c>
      <c r="Y1" s="2">
        <v>0</v>
      </c>
      <c r="Z1" s="3"/>
      <c r="AA1" s="2"/>
      <c r="AB1" s="2">
        <v>0</v>
      </c>
      <c r="AC1" s="2"/>
      <c r="AD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Detalle de Recepciones</vt:lpstr>
      <vt:lpstr>ANEXO A</vt:lpstr>
      <vt:lpstr>Ejm. IngresoXCompra</vt:lpstr>
      <vt:lpstr>Ejm. IngresoXDemasia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Lucio Fernandez Huanca</cp:lastModifiedBy>
  <cp:lastPrinted>2016-11-23T22:04:17Z</cp:lastPrinted>
  <dcterms:created xsi:type="dcterms:W3CDTF">2016-04-19T13:46:13Z</dcterms:created>
  <dcterms:modified xsi:type="dcterms:W3CDTF">2026-07-30T18:42:22Z</dcterms:modified>
</cp:coreProperties>
</file>